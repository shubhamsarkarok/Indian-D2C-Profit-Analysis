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hubh\Desktop\"/>
    </mc:Choice>
  </mc:AlternateContent>
  <xr:revisionPtr revIDLastSave="0" documentId="13_ncr:1_{766037BA-E16B-48C8-996B-6AC063AD7AF1}" xr6:coauthVersionLast="47" xr6:coauthVersionMax="47" xr10:uidLastSave="{00000000-0000-0000-0000-000000000000}"/>
  <bookViews>
    <workbookView xWindow="-108" yWindow="-108" windowWidth="23256" windowHeight="12456" activeTab="5" xr2:uid="{00000000-000D-0000-FFFF-FFFF00000000}"/>
  </bookViews>
  <sheets>
    <sheet name="Rates " sheetId="1" r:id="rId1"/>
    <sheet name="SKUs" sheetId="2" r:id="rId2"/>
    <sheet name="Orders" sheetId="3" r:id="rId3"/>
    <sheet name="Summary" sheetId="4" r:id="rId4"/>
    <sheet name="Scenario Summary" sheetId="6" r:id="rId5"/>
    <sheet name="Dashboard" sheetId="5" r:id="rId6"/>
  </sheets>
  <definedNames>
    <definedName name="Slicer_Channel">#N/A</definedName>
    <definedName name="Slicer_Order_Status">#N/A</definedName>
    <definedName name="Slicer_Return_Rate">#N/A</definedName>
    <definedName name="Slicer_SKU_Na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8" i="5" l="1"/>
  <c r="F53" i="4"/>
  <c r="K2" i="3"/>
  <c r="J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2" i="3"/>
  <c r="AH8" i="5"/>
  <c r="B8" i="5"/>
  <c r="R8" i="5"/>
  <c r="J8" i="5"/>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2" i="3"/>
  <c r="S3" i="3"/>
  <c r="S4" i="3"/>
  <c r="S5" i="3"/>
  <c r="S6" i="3"/>
  <c r="S8" i="3"/>
  <c r="S9" i="3"/>
  <c r="S10" i="3"/>
  <c r="S12" i="3"/>
  <c r="S14" i="3"/>
  <c r="S15" i="3"/>
  <c r="S16" i="3"/>
  <c r="S17" i="3"/>
  <c r="S20" i="3"/>
  <c r="S23" i="3"/>
  <c r="S24" i="3"/>
  <c r="S25" i="3"/>
  <c r="S27" i="3"/>
  <c r="S28" i="3"/>
  <c r="S29" i="3"/>
  <c r="S30" i="3"/>
  <c r="S32" i="3"/>
  <c r="S35" i="3"/>
  <c r="S36" i="3"/>
  <c r="S37" i="3"/>
  <c r="S39" i="3"/>
  <c r="S40" i="3"/>
  <c r="S42" i="3"/>
  <c r="S44" i="3"/>
  <c r="S50" i="3"/>
  <c r="S51" i="3"/>
  <c r="S53" i="3"/>
  <c r="S54" i="3"/>
  <c r="S55" i="3"/>
  <c r="S56" i="3"/>
  <c r="S57" i="3"/>
  <c r="S58" i="3"/>
  <c r="S60" i="3"/>
  <c r="S61" i="3"/>
  <c r="S65" i="3"/>
  <c r="S68" i="3"/>
  <c r="S69" i="3"/>
  <c r="S70" i="3"/>
  <c r="S71" i="3"/>
  <c r="S72" i="3"/>
  <c r="S73" i="3"/>
  <c r="S74" i="3"/>
  <c r="S75" i="3"/>
  <c r="S77" i="3"/>
  <c r="S79" i="3"/>
  <c r="S80" i="3"/>
  <c r="S82" i="3"/>
  <c r="S83" i="3"/>
  <c r="S85" i="3"/>
  <c r="S88" i="3"/>
  <c r="S89" i="3"/>
  <c r="S90" i="3"/>
  <c r="S91" i="3"/>
  <c r="S92" i="3"/>
  <c r="S93" i="3"/>
  <c r="S94" i="3"/>
  <c r="S95" i="3"/>
  <c r="S97" i="3"/>
  <c r="S98" i="3"/>
  <c r="S100" i="3"/>
  <c r="S2" i="3"/>
  <c r="R3" i="3"/>
  <c r="R5" i="3"/>
  <c r="R6" i="3"/>
  <c r="R7" i="3"/>
  <c r="R8" i="3"/>
  <c r="R9" i="3"/>
  <c r="R10" i="3"/>
  <c r="R12" i="3"/>
  <c r="R15" i="3"/>
  <c r="R16" i="3"/>
  <c r="R17" i="3"/>
  <c r="R18" i="3"/>
  <c r="R20" i="3"/>
  <c r="R22" i="3"/>
  <c r="R24" i="3"/>
  <c r="R25" i="3"/>
  <c r="R26" i="3"/>
  <c r="R27" i="3"/>
  <c r="R28" i="3"/>
  <c r="R30" i="3"/>
  <c r="R31" i="3"/>
  <c r="R32" i="3"/>
  <c r="R33" i="3"/>
  <c r="R34" i="3"/>
  <c r="R35" i="3"/>
  <c r="R36" i="3"/>
  <c r="R37" i="3"/>
  <c r="R38" i="3"/>
  <c r="R39" i="3"/>
  <c r="R40" i="3"/>
  <c r="R41" i="3"/>
  <c r="R42" i="3"/>
  <c r="R43" i="3"/>
  <c r="R44" i="3"/>
  <c r="R46" i="3"/>
  <c r="R47" i="3"/>
  <c r="R49" i="3"/>
  <c r="R50" i="3"/>
  <c r="R54" i="3"/>
  <c r="R58" i="3"/>
  <c r="R59" i="3"/>
  <c r="R60" i="3"/>
  <c r="R61" i="3"/>
  <c r="R64" i="3"/>
  <c r="R66" i="3"/>
  <c r="R68" i="3"/>
  <c r="R71" i="3"/>
  <c r="R72" i="3"/>
  <c r="R73" i="3"/>
  <c r="R74" i="3"/>
  <c r="R75" i="3"/>
  <c r="R76" i="3"/>
  <c r="R77" i="3"/>
  <c r="R79" i="3"/>
  <c r="R81" i="3"/>
  <c r="R83" i="3"/>
  <c r="R85" i="3"/>
  <c r="R88" i="3"/>
  <c r="R89" i="3"/>
  <c r="R90" i="3"/>
  <c r="R94" i="3"/>
  <c r="R96" i="3"/>
  <c r="R98" i="3"/>
  <c r="R99" i="3"/>
  <c r="R100" i="3"/>
  <c r="R101" i="3"/>
  <c r="R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M3" i="3"/>
  <c r="M4" i="3"/>
  <c r="M5" i="3"/>
  <c r="M6" i="3"/>
  <c r="M7" i="3"/>
  <c r="S7" i="3" s="1"/>
  <c r="M8" i="3"/>
  <c r="M9" i="3"/>
  <c r="M10" i="3"/>
  <c r="M11" i="3"/>
  <c r="S11" i="3" s="1"/>
  <c r="M12" i="3"/>
  <c r="M13" i="3"/>
  <c r="S13" i="3" s="1"/>
  <c r="M14" i="3"/>
  <c r="M15" i="3"/>
  <c r="M16" i="3"/>
  <c r="M17" i="3"/>
  <c r="M18" i="3"/>
  <c r="S18" i="3" s="1"/>
  <c r="M19" i="3"/>
  <c r="S19" i="3" s="1"/>
  <c r="M20" i="3"/>
  <c r="M21" i="3"/>
  <c r="S21" i="3" s="1"/>
  <c r="M22" i="3"/>
  <c r="S22" i="3" s="1"/>
  <c r="M23" i="3"/>
  <c r="M24" i="3"/>
  <c r="M25" i="3"/>
  <c r="M26" i="3"/>
  <c r="S26" i="3" s="1"/>
  <c r="M27" i="3"/>
  <c r="M28" i="3"/>
  <c r="M29" i="3"/>
  <c r="M30" i="3"/>
  <c r="M31" i="3"/>
  <c r="S31" i="3" s="1"/>
  <c r="M32" i="3"/>
  <c r="M33" i="3"/>
  <c r="S33" i="3" s="1"/>
  <c r="M34" i="3"/>
  <c r="S34" i="3" s="1"/>
  <c r="M35" i="3"/>
  <c r="M36" i="3"/>
  <c r="M37" i="3"/>
  <c r="M38" i="3"/>
  <c r="S38" i="3" s="1"/>
  <c r="M39" i="3"/>
  <c r="M40" i="3"/>
  <c r="M41" i="3"/>
  <c r="S41" i="3" s="1"/>
  <c r="M42" i="3"/>
  <c r="M43" i="3"/>
  <c r="S43" i="3" s="1"/>
  <c r="M44" i="3"/>
  <c r="M45" i="3"/>
  <c r="S45" i="3" s="1"/>
  <c r="M46" i="3"/>
  <c r="S46" i="3" s="1"/>
  <c r="M47" i="3"/>
  <c r="S47" i="3" s="1"/>
  <c r="M48" i="3"/>
  <c r="S48" i="3" s="1"/>
  <c r="M49" i="3"/>
  <c r="S49" i="3" s="1"/>
  <c r="M50" i="3"/>
  <c r="M51" i="3"/>
  <c r="M52" i="3"/>
  <c r="S52" i="3" s="1"/>
  <c r="M53" i="3"/>
  <c r="M54" i="3"/>
  <c r="M55" i="3"/>
  <c r="M56" i="3"/>
  <c r="M57" i="3"/>
  <c r="M58" i="3"/>
  <c r="M59" i="3"/>
  <c r="S59" i="3" s="1"/>
  <c r="M60" i="3"/>
  <c r="M61" i="3"/>
  <c r="M62" i="3"/>
  <c r="S62" i="3" s="1"/>
  <c r="M63" i="3"/>
  <c r="S63" i="3" s="1"/>
  <c r="M64" i="3"/>
  <c r="S64" i="3" s="1"/>
  <c r="M65" i="3"/>
  <c r="M66" i="3"/>
  <c r="S66" i="3" s="1"/>
  <c r="M67" i="3"/>
  <c r="S67" i="3" s="1"/>
  <c r="M68" i="3"/>
  <c r="M69" i="3"/>
  <c r="M70" i="3"/>
  <c r="M71" i="3"/>
  <c r="M72" i="3"/>
  <c r="M73" i="3"/>
  <c r="M74" i="3"/>
  <c r="M75" i="3"/>
  <c r="M76" i="3"/>
  <c r="S76" i="3" s="1"/>
  <c r="M77" i="3"/>
  <c r="M78" i="3"/>
  <c r="S78" i="3" s="1"/>
  <c r="M79" i="3"/>
  <c r="M80" i="3"/>
  <c r="M81" i="3"/>
  <c r="S81" i="3" s="1"/>
  <c r="M82" i="3"/>
  <c r="M83" i="3"/>
  <c r="M84" i="3"/>
  <c r="S84" i="3" s="1"/>
  <c r="M85" i="3"/>
  <c r="M86" i="3"/>
  <c r="S86" i="3" s="1"/>
  <c r="M87" i="3"/>
  <c r="S87" i="3" s="1"/>
  <c r="M88" i="3"/>
  <c r="M89" i="3"/>
  <c r="M90" i="3"/>
  <c r="M91" i="3"/>
  <c r="M92" i="3"/>
  <c r="M93" i="3"/>
  <c r="M94" i="3"/>
  <c r="M95" i="3"/>
  <c r="M96" i="3"/>
  <c r="S96" i="3" s="1"/>
  <c r="M97" i="3"/>
  <c r="M98" i="3"/>
  <c r="M99" i="3"/>
  <c r="S99" i="3" s="1"/>
  <c r="M100" i="3"/>
  <c r="M101" i="3"/>
  <c r="S101" i="3" s="1"/>
  <c r="O2" i="3"/>
  <c r="N2" i="3"/>
  <c r="M2"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H2" i="3"/>
  <c r="F62" i="4"/>
  <c r="F61" i="4"/>
  <c r="F59" i="4"/>
  <c r="F60" i="4"/>
  <c r="F58" i="4"/>
  <c r="F54" i="4"/>
  <c r="R67" i="3" l="1"/>
  <c r="R11" i="3"/>
  <c r="P81" i="3"/>
  <c r="Q81" i="3" s="1"/>
  <c r="P49" i="3"/>
  <c r="P41" i="3"/>
  <c r="Q41" i="3" s="1"/>
  <c r="P33" i="3"/>
  <c r="Q33" i="3" s="1"/>
  <c r="R91" i="3"/>
  <c r="R51" i="3"/>
  <c r="R19" i="3"/>
  <c r="P94" i="3"/>
  <c r="Q94" i="3" s="1"/>
  <c r="P86" i="3"/>
  <c r="Q86" i="3" s="1"/>
  <c r="P78" i="3"/>
  <c r="Q78" i="3" s="1"/>
  <c r="P70" i="3"/>
  <c r="Q70" i="3" s="1"/>
  <c r="P62" i="3"/>
  <c r="Q62" i="3" s="1"/>
  <c r="P54" i="3"/>
  <c r="Q54" i="3" s="1"/>
  <c r="P46" i="3"/>
  <c r="Q46" i="3" s="1"/>
  <c r="P38" i="3"/>
  <c r="Q38" i="3" s="1"/>
  <c r="P30" i="3"/>
  <c r="Q30" i="3" s="1"/>
  <c r="P22" i="3"/>
  <c r="Q22" i="3" s="1"/>
  <c r="P14" i="3"/>
  <c r="Q14" i="3" s="1"/>
  <c r="P6" i="3"/>
  <c r="Q6" i="3" s="1"/>
  <c r="R82" i="3"/>
  <c r="T46" i="3"/>
  <c r="R48" i="3"/>
  <c r="T48" i="3" s="1"/>
  <c r="R65" i="3"/>
  <c r="R56" i="3"/>
  <c r="T22" i="3"/>
  <c r="R80" i="3"/>
  <c r="T38" i="3"/>
  <c r="R97" i="3"/>
  <c r="R57" i="3"/>
  <c r="T96" i="3"/>
  <c r="T76" i="3"/>
  <c r="P93" i="3"/>
  <c r="Q93" i="3" s="1"/>
  <c r="P61" i="3"/>
  <c r="Q61" i="3" s="1"/>
  <c r="P21" i="3"/>
  <c r="Q21" i="3" s="1"/>
  <c r="T72" i="3"/>
  <c r="P63" i="3"/>
  <c r="Q63" i="3" s="1"/>
  <c r="P85" i="3"/>
  <c r="Q85" i="3" s="1"/>
  <c r="P53" i="3"/>
  <c r="Q53" i="3" s="1"/>
  <c r="P29" i="3"/>
  <c r="Q29" i="3" s="1"/>
  <c r="T99" i="3"/>
  <c r="T43" i="3"/>
  <c r="P100" i="3"/>
  <c r="Q100" i="3" s="1"/>
  <c r="P76" i="3"/>
  <c r="Q76" i="3" s="1"/>
  <c r="P60" i="3"/>
  <c r="Q60" i="3" s="1"/>
  <c r="P28" i="3"/>
  <c r="Q28" i="3" s="1"/>
  <c r="P4" i="3"/>
  <c r="Q4" i="3" s="1"/>
  <c r="T66" i="3"/>
  <c r="T18" i="3"/>
  <c r="R87" i="3"/>
  <c r="T87" i="3" s="1"/>
  <c r="R63" i="3"/>
  <c r="T63" i="3" s="1"/>
  <c r="P91" i="3"/>
  <c r="Q91" i="3" s="1"/>
  <c r="P83" i="3"/>
  <c r="Q83" i="3" s="1"/>
  <c r="P75" i="3"/>
  <c r="Q75" i="3" s="1"/>
  <c r="P67" i="3"/>
  <c r="Q67" i="3" s="1"/>
  <c r="P59" i="3"/>
  <c r="Q59" i="3" s="1"/>
  <c r="P51" i="3"/>
  <c r="Q51" i="3" s="1"/>
  <c r="P43" i="3"/>
  <c r="Q43" i="3" s="1"/>
  <c r="P35" i="3"/>
  <c r="Q35" i="3" s="1"/>
  <c r="P27" i="3"/>
  <c r="Q27" i="3" s="1"/>
  <c r="P19" i="3"/>
  <c r="Q19" i="3" s="1"/>
  <c r="P11" i="3"/>
  <c r="Q11" i="3" s="1"/>
  <c r="P3" i="3"/>
  <c r="Q3" i="3" s="1"/>
  <c r="P98" i="3"/>
  <c r="Q98" i="3" s="1"/>
  <c r="P90" i="3"/>
  <c r="Q90" i="3" s="1"/>
  <c r="P82" i="3"/>
  <c r="Q82" i="3" s="1"/>
  <c r="P74" i="3"/>
  <c r="Q74" i="3" s="1"/>
  <c r="P66" i="3"/>
  <c r="Q66" i="3" s="1"/>
  <c r="P58" i="3"/>
  <c r="Q58" i="3" s="1"/>
  <c r="P50" i="3"/>
  <c r="Q50" i="3" s="1"/>
  <c r="P42" i="3"/>
  <c r="Q42" i="3" s="1"/>
  <c r="P34" i="3"/>
  <c r="Q34" i="3" s="1"/>
  <c r="P26" i="3"/>
  <c r="Q26" i="3" s="1"/>
  <c r="P18" i="3"/>
  <c r="Q18" i="3" s="1"/>
  <c r="P10" i="3"/>
  <c r="Q10" i="3" s="1"/>
  <c r="T81" i="3"/>
  <c r="T49" i="3"/>
  <c r="T41" i="3"/>
  <c r="T33" i="3"/>
  <c r="R86" i="3"/>
  <c r="T86" i="3" s="1"/>
  <c r="R78" i="3"/>
  <c r="T78" i="3" s="1"/>
  <c r="R70" i="3"/>
  <c r="T70" i="3" s="1"/>
  <c r="R62" i="3"/>
  <c r="T62" i="3" s="1"/>
  <c r="R14" i="3"/>
  <c r="T14" i="3" s="1"/>
  <c r="P31" i="3"/>
  <c r="Q31" i="3" s="1"/>
  <c r="P7" i="3"/>
  <c r="Q7" i="3" s="1"/>
  <c r="P77" i="3"/>
  <c r="Q77" i="3" s="1"/>
  <c r="P45" i="3"/>
  <c r="Q45" i="3" s="1"/>
  <c r="P13" i="3"/>
  <c r="Q13" i="3" s="1"/>
  <c r="P92" i="3"/>
  <c r="Q92" i="3" s="1"/>
  <c r="P68" i="3"/>
  <c r="Q68" i="3" s="1"/>
  <c r="P44" i="3"/>
  <c r="Q44" i="3" s="1"/>
  <c r="P20" i="3"/>
  <c r="Q20" i="3" s="1"/>
  <c r="T26" i="3"/>
  <c r="R55" i="3"/>
  <c r="T64" i="3"/>
  <c r="R93" i="3"/>
  <c r="R69" i="3"/>
  <c r="R53" i="3"/>
  <c r="R45" i="3"/>
  <c r="T45" i="3" s="1"/>
  <c r="R29" i="3"/>
  <c r="R21" i="3"/>
  <c r="T21" i="3" s="1"/>
  <c r="R13" i="3"/>
  <c r="T13" i="3" s="1"/>
  <c r="P87" i="3"/>
  <c r="Q87" i="3" s="1"/>
  <c r="P47" i="3"/>
  <c r="Q47" i="3" s="1"/>
  <c r="P101" i="3"/>
  <c r="Q101" i="3" s="1"/>
  <c r="P69" i="3"/>
  <c r="Q69" i="3" s="1"/>
  <c r="P37" i="3"/>
  <c r="Q37" i="3" s="1"/>
  <c r="P5" i="3"/>
  <c r="Q5" i="3" s="1"/>
  <c r="T59" i="3"/>
  <c r="P84" i="3"/>
  <c r="Q84" i="3" s="1"/>
  <c r="P52" i="3"/>
  <c r="Q52" i="3" s="1"/>
  <c r="P36" i="3"/>
  <c r="Q36" i="3" s="1"/>
  <c r="P12" i="3"/>
  <c r="Q12" i="3" s="1"/>
  <c r="T34" i="3"/>
  <c r="R95" i="3"/>
  <c r="R23" i="3"/>
  <c r="P99" i="3"/>
  <c r="Q99" i="3" s="1"/>
  <c r="Q49" i="3"/>
  <c r="P96" i="3"/>
  <c r="Q96" i="3" s="1"/>
  <c r="P88" i="3"/>
  <c r="Q88" i="3" s="1"/>
  <c r="P80" i="3"/>
  <c r="Q80" i="3" s="1"/>
  <c r="P72" i="3"/>
  <c r="Q72" i="3" s="1"/>
  <c r="P64" i="3"/>
  <c r="Q64" i="3" s="1"/>
  <c r="P56" i="3"/>
  <c r="Q56" i="3" s="1"/>
  <c r="P48" i="3"/>
  <c r="Q48" i="3" s="1"/>
  <c r="P40" i="3"/>
  <c r="Q40" i="3" s="1"/>
  <c r="P32" i="3"/>
  <c r="Q32" i="3" s="1"/>
  <c r="P24" i="3"/>
  <c r="Q24" i="3" s="1"/>
  <c r="P16" i="3"/>
  <c r="Q16" i="3" s="1"/>
  <c r="P8" i="3"/>
  <c r="Q8" i="3" s="1"/>
  <c r="R92" i="3"/>
  <c r="R84" i="3"/>
  <c r="T84" i="3" s="1"/>
  <c r="R52" i="3"/>
  <c r="T52" i="3" s="1"/>
  <c r="R4" i="3"/>
  <c r="T94" i="3"/>
  <c r="T54" i="3"/>
  <c r="T30" i="3"/>
  <c r="T67" i="3"/>
  <c r="T19" i="3"/>
  <c r="T11" i="3"/>
  <c r="T101" i="3"/>
  <c r="T47" i="3"/>
  <c r="T31" i="3"/>
  <c r="T7" i="3"/>
  <c r="P97" i="3"/>
  <c r="Q97" i="3" s="1"/>
  <c r="P89" i="3"/>
  <c r="Q89" i="3" s="1"/>
  <c r="P73" i="3"/>
  <c r="Q73" i="3" s="1"/>
  <c r="P65" i="3"/>
  <c r="Q65" i="3" s="1"/>
  <c r="P57" i="3"/>
  <c r="Q57" i="3" s="1"/>
  <c r="P25" i="3"/>
  <c r="Q25" i="3" s="1"/>
  <c r="P17" i="3"/>
  <c r="Q17" i="3" s="1"/>
  <c r="P9" i="3"/>
  <c r="Q9" i="3" s="1"/>
  <c r="T36" i="3"/>
  <c r="P95" i="3"/>
  <c r="Q95" i="3" s="1"/>
  <c r="P79" i="3"/>
  <c r="Q79" i="3" s="1"/>
  <c r="P71" i="3"/>
  <c r="Q71" i="3" s="1"/>
  <c r="P55" i="3"/>
  <c r="Q55" i="3" s="1"/>
  <c r="P39" i="3"/>
  <c r="Q39" i="3" s="1"/>
  <c r="P23" i="3"/>
  <c r="Q23" i="3" s="1"/>
  <c r="P15" i="3"/>
  <c r="Q15" i="3" s="1"/>
  <c r="G2"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3" i="3"/>
  <c r="A2" i="3"/>
  <c r="T75" i="3" l="1"/>
  <c r="T28" i="3"/>
  <c r="T44" i="3"/>
  <c r="T42" i="3"/>
  <c r="T77" i="3"/>
  <c r="T6" i="3"/>
  <c r="T50" i="3"/>
  <c r="F46" i="4"/>
  <c r="T91" i="3"/>
  <c r="T74" i="3"/>
  <c r="T5" i="3"/>
  <c r="T53" i="3"/>
  <c r="T69" i="3"/>
  <c r="T32" i="3"/>
  <c r="T58" i="3"/>
  <c r="T60" i="3"/>
  <c r="T27" i="3"/>
  <c r="T35" i="3"/>
  <c r="T29" i="3"/>
  <c r="T10" i="3"/>
  <c r="T100" i="3"/>
  <c r="T83" i="3"/>
  <c r="T37" i="3"/>
  <c r="T97" i="3"/>
  <c r="T82" i="3"/>
  <c r="T8" i="3"/>
  <c r="T4" i="3"/>
  <c r="T92" i="3"/>
  <c r="T9" i="3"/>
  <c r="T40" i="3"/>
  <c r="T90" i="3"/>
  <c r="T80" i="3"/>
  <c r="T51" i="3"/>
  <c r="T39" i="3"/>
  <c r="T12" i="3"/>
  <c r="T85" i="3"/>
  <c r="T17" i="3"/>
  <c r="T88" i="3"/>
  <c r="T98" i="3"/>
  <c r="T24" i="3"/>
  <c r="T61" i="3"/>
  <c r="T68" i="3"/>
  <c r="T3" i="3"/>
  <c r="T20" i="3"/>
  <c r="T93" i="3"/>
  <c r="T89" i="3"/>
  <c r="T16" i="3"/>
  <c r="T56" i="3"/>
  <c r="T73" i="3"/>
  <c r="T71" i="3"/>
  <c r="P2" i="3"/>
  <c r="Q2" i="3" s="1"/>
  <c r="T15" i="3"/>
  <c r="T25" i="3"/>
  <c r="T79" i="3"/>
  <c r="T57" i="3"/>
  <c r="T23" i="3"/>
  <c r="T55" i="3"/>
  <c r="T65" i="3"/>
  <c r="T95" i="3"/>
  <c r="T2" i="3" l="1"/>
  <c r="F45" i="4" l="1"/>
  <c r="F49" i="4" s="1"/>
</calcChain>
</file>

<file path=xl/sharedStrings.xml><?xml version="1.0" encoding="utf-8"?>
<sst xmlns="http://schemas.openxmlformats.org/spreadsheetml/2006/main" count="517" uniqueCount="79">
  <si>
    <t>Channel</t>
  </si>
  <si>
    <t>Commision %</t>
  </si>
  <si>
    <t>Forward Shipping</t>
  </si>
  <si>
    <t>Rev Shipping</t>
  </si>
  <si>
    <t>Fixed Fee</t>
  </si>
  <si>
    <t>COD %</t>
  </si>
  <si>
    <t>Myntra</t>
  </si>
  <si>
    <t>Meesho</t>
  </si>
  <si>
    <t>Own Website</t>
  </si>
  <si>
    <t>COD Flat Fee</t>
  </si>
  <si>
    <t>SKU ID</t>
  </si>
  <si>
    <t>SKU Name</t>
  </si>
  <si>
    <t>Selling Price</t>
  </si>
  <si>
    <t>SKU001</t>
  </si>
  <si>
    <t>SKU002</t>
  </si>
  <si>
    <t>SKU003</t>
  </si>
  <si>
    <t>SKU004</t>
  </si>
  <si>
    <t>SKU005</t>
  </si>
  <si>
    <t>Basic Cotton Kurta</t>
  </si>
  <si>
    <t>Printed Kurta</t>
  </si>
  <si>
    <t>Embroidered Kurta</t>
  </si>
  <si>
    <t>Designer Kurta</t>
  </si>
  <si>
    <t>Order ID</t>
  </si>
  <si>
    <t>Payment Type</t>
  </si>
  <si>
    <t>Order Status</t>
  </si>
  <si>
    <t xml:space="preserve">Selling Price </t>
  </si>
  <si>
    <t>Product Cost</t>
  </si>
  <si>
    <t xml:space="preserve">Packaging </t>
  </si>
  <si>
    <t>Commission%</t>
  </si>
  <si>
    <t xml:space="preserve">Fwd Shipping </t>
  </si>
  <si>
    <t>COD%</t>
  </si>
  <si>
    <t>Platform Commission</t>
  </si>
  <si>
    <t>GST on Fees</t>
  </si>
  <si>
    <t>COD Handling Fee</t>
  </si>
  <si>
    <t>Reverse Shipping Cost</t>
  </si>
  <si>
    <t>CM2</t>
  </si>
  <si>
    <t>Prepaid</t>
  </si>
  <si>
    <t>COD</t>
  </si>
  <si>
    <t>Delivered</t>
  </si>
  <si>
    <t>Returned</t>
  </si>
  <si>
    <t>Packaging</t>
  </si>
  <si>
    <t>Reverse Shipping</t>
  </si>
  <si>
    <t>Row Labels</t>
  </si>
  <si>
    <t>Grand Total</t>
  </si>
  <si>
    <t>Sum of CM2</t>
  </si>
  <si>
    <t>Count of Order ID</t>
  </si>
  <si>
    <t>Average CM2 per order</t>
  </si>
  <si>
    <t>Column Labels</t>
  </si>
  <si>
    <t>Profitability by SKU</t>
  </si>
  <si>
    <t>Profitability by Channel</t>
  </si>
  <si>
    <t>Cost of Returns</t>
  </si>
  <si>
    <t>Return Rate by SKU</t>
  </si>
  <si>
    <t xml:space="preserve">TOTAL ORDERS
</t>
  </si>
  <si>
    <t>TOTAL CM2 (₹)</t>
  </si>
  <si>
    <t>AVG CM2 PER ORDER (₹)</t>
  </si>
  <si>
    <t>RETURN RATE</t>
  </si>
  <si>
    <t>Label</t>
  </si>
  <si>
    <t>Formula Value</t>
  </si>
  <si>
    <t>Avg CM2 - Delivered</t>
  </si>
  <si>
    <t>Avg CM2 - Returned</t>
  </si>
  <si>
    <t>Total Orders</t>
  </si>
  <si>
    <t>Return Rate Assumption</t>
  </si>
  <si>
    <t>Projected Total CM2</t>
  </si>
  <si>
    <t>$F$48</t>
  </si>
  <si>
    <t>$F$49</t>
  </si>
  <si>
    <t>Base Case (30% Returns)</t>
  </si>
  <si>
    <t>Optimistic (20% Returns)</t>
  </si>
  <si>
    <t>Pessimistic (40% Returns)</t>
  </si>
  <si>
    <t>Best Case (10%)</t>
  </si>
  <si>
    <t>Scenario Summary</t>
  </si>
  <si>
    <t>Changing Cells:</t>
  </si>
  <si>
    <t>Result Cells:</t>
  </si>
  <si>
    <t>Premium Silk Kurta</t>
  </si>
  <si>
    <t>Actual Dataset (35%):</t>
  </si>
  <si>
    <t>Status</t>
  </si>
  <si>
    <t>SKU</t>
  </si>
  <si>
    <t>Return Rate</t>
  </si>
  <si>
    <t>CM2 LOST TO RETURNS (₹)</t>
  </si>
  <si>
    <r>
      <t xml:space="preserve">Indian D2C True Profitability Dashboard
</t>
    </r>
    <r>
      <rPr>
        <b/>
        <i/>
        <sz val="10"/>
        <color theme="0"/>
        <rFont val="Calibri"/>
        <family val="2"/>
        <scheme val="minor"/>
      </rPr>
      <t>Fashion Category | 100 Orders Simulated | Indian D2C Model | FY 2025-2026</t>
    </r>
    <r>
      <rPr>
        <b/>
        <sz val="20"/>
        <color theme="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</si>
</sst>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09]\ #,##0.00"/>
    <numFmt numFmtId="165" formatCode="0.0"/>
    <numFmt numFmtId="166" formatCode="[$₹-4009]\ #,##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20"/>
      <color theme="0"/>
      <name val="Calibri"/>
      <family val="2"/>
      <scheme val="minor"/>
    </font>
    <font>
      <b/>
      <i/>
      <sz val="10"/>
      <color theme="0"/>
      <name val="Calibri"/>
      <family val="2"/>
      <scheme val="minor"/>
    </font>
    <font>
      <b/>
      <sz val="18"/>
      <color theme="8" tint="-0.499984740745262"/>
      <name val="Calibri"/>
      <family val="2"/>
      <scheme val="minor"/>
    </font>
    <font>
      <sz val="9"/>
      <color theme="2" tint="-0.499984740745262"/>
      <name val="Calibri"/>
      <family val="2"/>
      <scheme val="minor"/>
    </font>
    <font>
      <b/>
      <sz val="18"/>
      <color rgb="FFA32D2D"/>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s>
  <fills count="8">
    <fill>
      <patternFill patternType="none"/>
    </fill>
    <fill>
      <patternFill patternType="gray125"/>
    </fill>
    <fill>
      <patternFill patternType="solid">
        <fgColor rgb="FF1D3557"/>
        <bgColor indexed="64"/>
      </patternFill>
    </fill>
    <fill>
      <patternFill patternType="solid">
        <fgColor rgb="FFF1FAEE"/>
        <bgColor indexed="64"/>
      </patternFill>
    </fill>
    <fill>
      <patternFill patternType="solid">
        <fgColor rgb="FFFCE8E8"/>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A32D2D"/>
      </left>
      <right/>
      <top style="thin">
        <color rgb="FFA32D2D"/>
      </top>
      <bottom/>
      <diagonal/>
    </border>
    <border>
      <left/>
      <right/>
      <top style="thin">
        <color rgb="FFA32D2D"/>
      </top>
      <bottom/>
      <diagonal/>
    </border>
    <border>
      <left/>
      <right style="thin">
        <color rgb="FFA32D2D"/>
      </right>
      <top style="thin">
        <color rgb="FFA32D2D"/>
      </top>
      <bottom/>
      <diagonal/>
    </border>
    <border>
      <left style="thin">
        <color rgb="FFA32D2D"/>
      </left>
      <right/>
      <top/>
      <bottom/>
      <diagonal/>
    </border>
    <border>
      <left/>
      <right style="thin">
        <color rgb="FFA32D2D"/>
      </right>
      <top/>
      <bottom/>
      <diagonal/>
    </border>
    <border>
      <left style="thin">
        <color rgb="FFA32D2D"/>
      </left>
      <right/>
      <top/>
      <bottom style="thin">
        <color rgb="FFA32D2D"/>
      </bottom>
      <diagonal/>
    </border>
    <border>
      <left/>
      <right/>
      <top/>
      <bottom style="thin">
        <color rgb="FFA32D2D"/>
      </bottom>
      <diagonal/>
    </border>
    <border>
      <left/>
      <right style="thin">
        <color rgb="FFA32D2D"/>
      </right>
      <top/>
      <bottom style="thin">
        <color rgb="FFA32D2D"/>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0" fillId="0" borderId="1" xfId="0" applyBorder="1" applyAlignment="1">
      <alignment horizontal="center"/>
    </xf>
    <xf numFmtId="9" fontId="0" fillId="0" borderId="1" xfId="1" applyFont="1" applyBorder="1" applyAlignment="1">
      <alignment horizontal="center"/>
    </xf>
    <xf numFmtId="164" fontId="0" fillId="0" borderId="1" xfId="0" applyNumberFormat="1" applyBorder="1" applyAlignment="1">
      <alignment horizontal="center"/>
    </xf>
    <xf numFmtId="0" fontId="0" fillId="0" borderId="2" xfId="0" applyBorder="1" applyAlignment="1">
      <alignment horizontal="center"/>
    </xf>
    <xf numFmtId="9" fontId="0" fillId="0" borderId="2" xfId="1" applyFont="1" applyBorder="1" applyAlignment="1">
      <alignment horizontal="center"/>
    </xf>
    <xf numFmtId="164" fontId="0" fillId="0" borderId="2" xfId="0" applyNumberForma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6" xfId="0" applyBorder="1" applyAlignment="1">
      <alignment horizontal="center"/>
    </xf>
    <xf numFmtId="9" fontId="0" fillId="0" borderId="7" xfId="1" applyFont="1" applyBorder="1" applyAlignment="1">
      <alignment horizontal="center"/>
    </xf>
    <xf numFmtId="0" fontId="0" fillId="0" borderId="8" xfId="0" applyBorder="1" applyAlignment="1">
      <alignment horizontal="center"/>
    </xf>
    <xf numFmtId="9" fontId="0" fillId="0" borderId="9" xfId="1" applyFont="1" applyBorder="1" applyAlignment="1">
      <alignment horizontal="center"/>
    </xf>
    <xf numFmtId="0" fontId="0" fillId="0" borderId="10" xfId="0" applyBorder="1" applyAlignment="1">
      <alignment horizontal="center"/>
    </xf>
    <xf numFmtId="9" fontId="0" fillId="0" borderId="11" xfId="1" applyFont="1" applyBorder="1" applyAlignment="1">
      <alignment horizontal="center"/>
    </xf>
    <xf numFmtId="164" fontId="0" fillId="0" borderId="11" xfId="0" applyNumberFormat="1" applyBorder="1" applyAlignment="1">
      <alignment horizontal="center"/>
    </xf>
    <xf numFmtId="9" fontId="0" fillId="0" borderId="12" xfId="1" applyFont="1" applyBorder="1" applyAlignment="1">
      <alignment horizontal="center"/>
    </xf>
    <xf numFmtId="0" fontId="0" fillId="0" borderId="11" xfId="0" applyBorder="1" applyAlignment="1">
      <alignment horizontal="center"/>
    </xf>
    <xf numFmtId="164" fontId="0" fillId="0" borderId="7" xfId="0" applyNumberFormat="1" applyBorder="1" applyAlignment="1">
      <alignment horizontal="center"/>
    </xf>
    <xf numFmtId="164" fontId="0" fillId="0" borderId="9" xfId="0" applyNumberFormat="1" applyBorder="1" applyAlignment="1">
      <alignment horizontal="center"/>
    </xf>
    <xf numFmtId="164" fontId="0" fillId="0" borderId="12" xfId="0" applyNumberFormat="1" applyBorder="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xf numFmtId="165" fontId="0" fillId="0" borderId="30" xfId="0" applyNumberFormat="1" applyBorder="1"/>
    <xf numFmtId="0" fontId="9" fillId="5" borderId="19" xfId="0" applyFont="1" applyFill="1" applyBorder="1" applyAlignment="1">
      <alignment horizontal="left"/>
    </xf>
    <xf numFmtId="0" fontId="9" fillId="5" borderId="29" xfId="0" applyFont="1" applyFill="1" applyBorder="1" applyAlignment="1">
      <alignment horizontal="left"/>
    </xf>
    <xf numFmtId="0" fontId="0" fillId="0" borderId="31" xfId="0" applyBorder="1"/>
    <xf numFmtId="0" fontId="10" fillId="6" borderId="0" xfId="0" applyFont="1" applyFill="1" applyAlignment="1">
      <alignment horizontal="left"/>
    </xf>
    <xf numFmtId="0" fontId="11" fillId="6" borderId="31" xfId="0" applyFont="1" applyFill="1" applyBorder="1" applyAlignment="1">
      <alignment horizontal="left"/>
    </xf>
    <xf numFmtId="0" fontId="10" fillId="6" borderId="30" xfId="0" applyFont="1" applyFill="1" applyBorder="1" applyAlignment="1">
      <alignment horizontal="left"/>
    </xf>
    <xf numFmtId="0" fontId="12" fillId="5" borderId="29" xfId="0" applyFont="1" applyFill="1" applyBorder="1" applyAlignment="1">
      <alignment horizontal="right"/>
    </xf>
    <xf numFmtId="0" fontId="12" fillId="5" borderId="19" xfId="0" applyFont="1" applyFill="1" applyBorder="1" applyAlignment="1">
      <alignment horizontal="right"/>
    </xf>
    <xf numFmtId="0" fontId="0" fillId="7" borderId="0" xfId="0" applyFill="1"/>
    <xf numFmtId="0" fontId="2" fillId="0" borderId="0" xfId="0" applyFont="1"/>
    <xf numFmtId="0" fontId="0" fillId="0" borderId="9" xfId="0" applyBorder="1" applyAlignment="1">
      <alignment horizontal="center"/>
    </xf>
    <xf numFmtId="166" fontId="0" fillId="0" borderId="2" xfId="0" applyNumberFormat="1" applyBorder="1" applyAlignment="1">
      <alignment horizontal="center"/>
    </xf>
    <xf numFmtId="166" fontId="0" fillId="0" borderId="1" xfId="0" applyNumberFormat="1" applyBorder="1" applyAlignment="1">
      <alignment horizontal="center"/>
    </xf>
    <xf numFmtId="166" fontId="0" fillId="0" borderId="11" xfId="0" applyNumberFormat="1" applyBorder="1" applyAlignment="1">
      <alignment horizontal="center"/>
    </xf>
    <xf numFmtId="166" fontId="0" fillId="0" borderId="7" xfId="0" applyNumberFormat="1" applyBorder="1" applyAlignment="1">
      <alignment horizontal="center"/>
    </xf>
    <xf numFmtId="166" fontId="0" fillId="0" borderId="9" xfId="0" applyNumberFormat="1" applyBorder="1" applyAlignment="1">
      <alignment horizontal="center"/>
    </xf>
    <xf numFmtId="166" fontId="0" fillId="0" borderId="12" xfId="0" applyNumberFormat="1" applyBorder="1" applyAlignment="1">
      <alignment horizontal="center"/>
    </xf>
    <xf numFmtId="164" fontId="0" fillId="0" borderId="2" xfId="1" applyNumberFormat="1" applyFont="1" applyBorder="1" applyAlignment="1">
      <alignment horizontal="center"/>
    </xf>
    <xf numFmtId="164" fontId="0" fillId="0" borderId="1" xfId="1" applyNumberFormat="1" applyFont="1" applyBorder="1" applyAlignment="1">
      <alignment horizontal="center"/>
    </xf>
    <xf numFmtId="164" fontId="0" fillId="0" borderId="11" xfId="1" applyNumberFormat="1" applyFont="1" applyBorder="1" applyAlignment="1">
      <alignment horizontal="center"/>
    </xf>
    <xf numFmtId="9" fontId="0" fillId="0" borderId="0" xfId="1" applyFont="1"/>
    <xf numFmtId="166" fontId="0" fillId="0" borderId="0" xfId="0" applyNumberFormat="1"/>
    <xf numFmtId="0" fontId="0" fillId="0" borderId="20" xfId="0" applyBorder="1" applyAlignment="1">
      <alignment horizontal="center"/>
    </xf>
    <xf numFmtId="0" fontId="0" fillId="0" borderId="18"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0" fillId="0" borderId="20" xfId="0" applyBorder="1"/>
    <xf numFmtId="0" fontId="0" fillId="0" borderId="34" xfId="0" applyBorder="1"/>
    <xf numFmtId="9" fontId="0" fillId="0" borderId="18" xfId="1" applyFont="1" applyBorder="1"/>
    <xf numFmtId="9" fontId="0" fillId="0" borderId="35" xfId="1" applyFont="1" applyBorder="1"/>
    <xf numFmtId="0" fontId="2" fillId="0" borderId="32" xfId="0" applyFont="1" applyBorder="1" applyAlignment="1">
      <alignment horizontal="center"/>
    </xf>
    <xf numFmtId="0" fontId="2" fillId="0" borderId="33" xfId="0" applyFont="1" applyBorder="1"/>
    <xf numFmtId="0" fontId="0" fillId="0" borderId="15" xfId="0" applyBorder="1"/>
    <xf numFmtId="9" fontId="0" fillId="0" borderId="13" xfId="1" applyFont="1" applyBorder="1"/>
    <xf numFmtId="0" fontId="4" fillId="2" borderId="0" xfId="0" applyFont="1" applyFill="1" applyAlignment="1">
      <alignment horizontal="center" wrapText="1"/>
    </xf>
    <xf numFmtId="0" fontId="7" fillId="3" borderId="13"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7" xfId="0" applyFont="1" applyFill="1" applyBorder="1" applyAlignment="1">
      <alignment horizontal="center" vertical="center" wrapText="1"/>
    </xf>
    <xf numFmtId="10" fontId="6" fillId="3" borderId="16" xfId="0" applyNumberFormat="1" applyFont="1" applyFill="1" applyBorder="1" applyAlignment="1">
      <alignment horizontal="center" wrapText="1"/>
    </xf>
    <xf numFmtId="10" fontId="6" fillId="3" borderId="0" xfId="0" applyNumberFormat="1" applyFont="1" applyFill="1" applyAlignment="1">
      <alignment horizontal="center" wrapText="1"/>
    </xf>
    <xf numFmtId="10" fontId="6" fillId="3" borderId="17" xfId="0" applyNumberFormat="1" applyFont="1" applyFill="1" applyBorder="1" applyAlignment="1">
      <alignment horizontal="center" wrapText="1"/>
    </xf>
    <xf numFmtId="10" fontId="6" fillId="3" borderId="18" xfId="0" applyNumberFormat="1" applyFont="1" applyFill="1" applyBorder="1" applyAlignment="1">
      <alignment horizontal="center" wrapText="1"/>
    </xf>
    <xf numFmtId="10" fontId="6" fillId="3" borderId="19" xfId="0" applyNumberFormat="1" applyFont="1" applyFill="1" applyBorder="1" applyAlignment="1">
      <alignment horizontal="center" wrapText="1"/>
    </xf>
    <xf numFmtId="10" fontId="6" fillId="3" borderId="20" xfId="0" applyNumberFormat="1" applyFont="1" applyFill="1" applyBorder="1" applyAlignment="1">
      <alignment horizontal="center" wrapText="1"/>
    </xf>
    <xf numFmtId="0" fontId="7" fillId="3" borderId="13" xfId="0" applyFont="1" applyFill="1" applyBorder="1" applyAlignment="1">
      <alignment horizontal="center" wrapText="1"/>
    </xf>
    <xf numFmtId="0" fontId="7" fillId="3" borderId="14" xfId="0" applyFont="1" applyFill="1" applyBorder="1" applyAlignment="1">
      <alignment horizontal="center" wrapText="1"/>
    </xf>
    <xf numFmtId="0" fontId="7" fillId="3" borderId="15" xfId="0" applyFont="1" applyFill="1" applyBorder="1" applyAlignment="1">
      <alignment horizontal="center" wrapText="1"/>
    </xf>
    <xf numFmtId="0" fontId="7" fillId="3" borderId="16" xfId="0" applyFont="1" applyFill="1" applyBorder="1" applyAlignment="1">
      <alignment horizontal="center" wrapText="1"/>
    </xf>
    <xf numFmtId="0" fontId="7" fillId="3" borderId="0" xfId="0" applyFont="1" applyFill="1" applyAlignment="1">
      <alignment horizontal="center" wrapText="1"/>
    </xf>
    <xf numFmtId="0" fontId="7" fillId="3" borderId="17" xfId="0" applyFont="1" applyFill="1" applyBorder="1" applyAlignment="1">
      <alignment horizontal="center" wrapText="1"/>
    </xf>
    <xf numFmtId="0" fontId="6" fillId="3" borderId="16" xfId="0" applyFont="1" applyFill="1" applyBorder="1" applyAlignment="1">
      <alignment horizontal="center" wrapText="1"/>
    </xf>
    <xf numFmtId="0" fontId="6" fillId="3" borderId="0" xfId="0" applyFont="1" applyFill="1" applyAlignment="1">
      <alignment horizontal="center" wrapText="1"/>
    </xf>
    <xf numFmtId="0" fontId="6" fillId="3" borderId="17" xfId="0" applyFont="1" applyFill="1" applyBorder="1" applyAlignment="1">
      <alignment horizontal="center" wrapText="1"/>
    </xf>
    <xf numFmtId="0" fontId="6" fillId="3" borderId="18" xfId="0" applyFont="1" applyFill="1" applyBorder="1" applyAlignment="1">
      <alignment horizontal="center" wrapText="1"/>
    </xf>
    <xf numFmtId="0" fontId="6" fillId="3" borderId="19" xfId="0" applyFont="1" applyFill="1" applyBorder="1" applyAlignment="1">
      <alignment horizontal="center" wrapText="1"/>
    </xf>
    <xf numFmtId="0" fontId="6" fillId="3" borderId="20" xfId="0" applyFont="1" applyFill="1" applyBorder="1" applyAlignment="1">
      <alignment horizontal="center" wrapText="1"/>
    </xf>
    <xf numFmtId="0" fontId="7" fillId="4" borderId="21" xfId="0" applyFont="1" applyFill="1" applyBorder="1" applyAlignment="1">
      <alignment horizontal="center" vertical="center" wrapText="1"/>
    </xf>
    <xf numFmtId="0" fontId="7" fillId="4" borderId="22" xfId="0" applyFont="1" applyFill="1" applyBorder="1" applyAlignment="1">
      <alignment horizontal="center" vertical="center" wrapText="1"/>
    </xf>
    <xf numFmtId="0" fontId="7" fillId="4" borderId="23" xfId="0" applyFont="1" applyFill="1" applyBorder="1" applyAlignment="1">
      <alignment horizontal="center" vertical="center" wrapText="1"/>
    </xf>
    <xf numFmtId="0" fontId="7" fillId="4" borderId="24" xfId="0" applyFont="1" applyFill="1" applyBorder="1" applyAlignment="1">
      <alignment horizontal="center" vertical="center" wrapText="1"/>
    </xf>
    <xf numFmtId="0" fontId="7" fillId="4" borderId="0" xfId="0" applyFont="1" applyFill="1" applyAlignment="1">
      <alignment horizontal="center" vertical="center" wrapText="1"/>
    </xf>
    <xf numFmtId="0" fontId="7" fillId="4" borderId="25" xfId="0" applyFont="1" applyFill="1" applyBorder="1" applyAlignment="1">
      <alignment horizontal="center" vertical="center" wrapText="1"/>
    </xf>
    <xf numFmtId="0" fontId="8" fillId="4" borderId="24" xfId="0" applyFont="1" applyFill="1" applyBorder="1" applyAlignment="1">
      <alignment horizontal="center" wrapText="1"/>
    </xf>
    <xf numFmtId="0" fontId="8" fillId="4" borderId="0" xfId="0" applyFont="1" applyFill="1" applyAlignment="1">
      <alignment horizontal="center" wrapText="1"/>
    </xf>
    <xf numFmtId="0" fontId="8" fillId="4" borderId="25" xfId="0" applyFont="1" applyFill="1" applyBorder="1" applyAlignment="1">
      <alignment horizontal="center" wrapText="1"/>
    </xf>
    <xf numFmtId="0" fontId="8" fillId="4" borderId="26" xfId="0" applyFont="1" applyFill="1" applyBorder="1" applyAlignment="1">
      <alignment horizontal="center" wrapText="1"/>
    </xf>
    <xf numFmtId="0" fontId="8" fillId="4" borderId="27" xfId="0" applyFont="1" applyFill="1" applyBorder="1" applyAlignment="1">
      <alignment horizontal="center" wrapText="1"/>
    </xf>
    <xf numFmtId="0" fontId="8" fillId="4" borderId="28" xfId="0" applyFont="1" applyFill="1" applyBorder="1" applyAlignment="1">
      <alignment horizontal="center" wrapText="1"/>
    </xf>
    <xf numFmtId="2" fontId="6" fillId="3" borderId="16" xfId="0" applyNumberFormat="1" applyFont="1" applyFill="1" applyBorder="1" applyAlignment="1">
      <alignment horizontal="center" wrapText="1"/>
    </xf>
    <xf numFmtId="2" fontId="6" fillId="3" borderId="0" xfId="0" applyNumberFormat="1" applyFont="1" applyFill="1" applyAlignment="1">
      <alignment horizontal="center" wrapText="1"/>
    </xf>
    <xf numFmtId="2" fontId="6" fillId="3" borderId="17" xfId="0" applyNumberFormat="1" applyFont="1" applyFill="1" applyBorder="1" applyAlignment="1">
      <alignment horizontal="center" wrapText="1"/>
    </xf>
    <xf numFmtId="2" fontId="6" fillId="3" borderId="18" xfId="0" applyNumberFormat="1" applyFont="1" applyFill="1" applyBorder="1" applyAlignment="1">
      <alignment horizontal="center" wrapText="1"/>
    </xf>
    <xf numFmtId="2" fontId="6" fillId="3" borderId="19" xfId="0" applyNumberFormat="1" applyFont="1" applyFill="1" applyBorder="1" applyAlignment="1">
      <alignment horizontal="center" wrapText="1"/>
    </xf>
    <xf numFmtId="2" fontId="6" fillId="3" borderId="20" xfId="0" applyNumberFormat="1" applyFont="1" applyFill="1" applyBorder="1" applyAlignment="1">
      <alignment horizontal="center" wrapText="1"/>
    </xf>
    <xf numFmtId="0" fontId="2" fillId="0" borderId="30" xfId="0" applyFont="1" applyBorder="1" applyAlignment="1">
      <alignment horizontal="center"/>
    </xf>
    <xf numFmtId="0" fontId="2" fillId="0" borderId="0" xfId="0" applyFont="1" applyAlignment="1">
      <alignment horizontal="center"/>
    </xf>
  </cellXfs>
  <cellStyles count="2">
    <cellStyle name="Normal" xfId="0" builtinId="0"/>
    <cellStyle name="Percent" xfId="1" builtinId="5"/>
  </cellStyles>
  <dxfs count="10">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alignment horizontal="center" vertical="bottom" textRotation="0" wrapText="0" indent="0" justifyLastLine="0" shrinkToFit="0" readingOrder="0"/>
      <border diagonalUp="0" diagonalDown="0">
        <left style="thin">
          <color indexed="64"/>
        </left>
        <right/>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bottom style="thin">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numFmt numFmtId="166" formatCode="[$₹-4009]\ #,##0"/>
    </dxf>
    <dxf>
      <numFmt numFmtId="166" formatCode="[$₹-4009]\ #,##0"/>
    </dxf>
  </dxfs>
  <tableStyles count="0" defaultTableStyle="TableStyleMedium2" defaultPivotStyle="PivotStyleLight16"/>
  <colors>
    <mruColors>
      <color rgb="FFFF6600"/>
      <color rgb="FFFF3399"/>
      <color rgb="FFFF6B35"/>
      <color rgb="FFA855F7"/>
      <color rgb="FFA32D2D"/>
      <color rgb="FFFCE8E8"/>
      <color rgb="FFF1FAEE"/>
      <color rgb="FF1D35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[d2c_profit_model.xlsx.xlsx]Summary!PivotTable2</c:name>
    <c:fmtId val="1"/>
  </c:pivotSource>
  <c:chart>
    <c:title>
      <c:tx>
        <c:rich>
          <a:bodyPr rot="0" spcFirstLastPara="1" vertOverflow="ellipsis" vert="horz" wrap="square" anchor="ctr" anchorCtr="1"/>
          <a:lstStyle/>
          <a:p>
            <a:pPr algn="ctr">
              <a:defRPr sz="1400" b="1" i="0" u="none" strike="noStrike" kern="1200" spc="0" baseline="0">
                <a:ln>
                  <a:noFill/>
                </a:ln>
                <a:solidFill>
                  <a:schemeClr val="tx1"/>
                </a:solidFill>
                <a:latin typeface="+mn-lt"/>
                <a:ea typeface="+mn-ea"/>
                <a:cs typeface="+mn-cs"/>
              </a:defRPr>
            </a:pPr>
            <a:r>
              <a:rPr lang="en-US" b="1"/>
              <a:t>Which</a:t>
            </a:r>
            <a:r>
              <a:rPr lang="en-US" b="1" baseline="0"/>
              <a:t> SKUs Are Actually Profitable?</a:t>
            </a:r>
          </a:p>
        </c:rich>
      </c:tx>
      <c:layout>
        <c:manualLayout>
          <c:xMode val="edge"/>
          <c:yMode val="edge"/>
          <c:x val="0.22333333333333336"/>
          <c:y val="0.12806521390489378"/>
        </c:manualLayout>
      </c:layout>
      <c:overlay val="0"/>
      <c:spPr>
        <a:noFill/>
        <a:ln>
          <a:noFill/>
        </a:ln>
        <a:effectLst/>
      </c:spPr>
      <c:txPr>
        <a:bodyPr rot="0" spcFirstLastPara="1" vertOverflow="ellipsis" vert="horz" wrap="square" anchor="ctr" anchorCtr="1"/>
        <a:lstStyle/>
        <a:p>
          <a:pPr algn="ctr">
            <a:defRPr sz="14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26556295847633"/>
          <c:y val="0.28251131425263348"/>
          <c:w val="0.38969805056419232"/>
          <c:h val="0.60224642187982835"/>
        </c:manualLayout>
      </c:layout>
      <c:barChart>
        <c:barDir val="bar"/>
        <c:grouping val="clustered"/>
        <c:varyColors val="0"/>
        <c:ser>
          <c:idx val="0"/>
          <c:order val="0"/>
          <c:tx>
            <c:strRef>
              <c:f>Summary!$B$2</c:f>
              <c:strCache>
                <c:ptCount val="1"/>
                <c:pt idx="0">
                  <c:v>Total</c:v>
                </c:pt>
              </c:strCache>
            </c:strRef>
          </c:tx>
          <c:spPr>
            <a:solidFill>
              <a:schemeClr val="accent1"/>
            </a:solidFill>
            <a:ln>
              <a:noFill/>
            </a:ln>
            <a:effectLst/>
          </c:spPr>
          <c:invertIfNegative val="0"/>
          <c:cat>
            <c:strRef>
              <c:f>Summary!$A$3:$A$8</c:f>
              <c:strCache>
                <c:ptCount val="5"/>
                <c:pt idx="0">
                  <c:v>Basic Cotton Kurta</c:v>
                </c:pt>
                <c:pt idx="1">
                  <c:v>Printed Kurta</c:v>
                </c:pt>
                <c:pt idx="2">
                  <c:v>Embroidered Kurta</c:v>
                </c:pt>
                <c:pt idx="3">
                  <c:v>Designer Kurta</c:v>
                </c:pt>
                <c:pt idx="4">
                  <c:v>Premium Silk Kurta</c:v>
                </c:pt>
              </c:strCache>
            </c:strRef>
          </c:cat>
          <c:val>
            <c:numRef>
              <c:f>Summary!$B$3:$B$8</c:f>
              <c:numCache>
                <c:formatCode>[$₹-4009]\ #,##0</c:formatCode>
                <c:ptCount val="5"/>
                <c:pt idx="0">
                  <c:v>373.15039999999976</c:v>
                </c:pt>
                <c:pt idx="1">
                  <c:v>715.19159999999999</c:v>
                </c:pt>
                <c:pt idx="2">
                  <c:v>4987.1088000000009</c:v>
                </c:pt>
                <c:pt idx="3">
                  <c:v>5545.2431999999999</c:v>
                </c:pt>
                <c:pt idx="4">
                  <c:v>10200.926000000003</c:v>
                </c:pt>
              </c:numCache>
            </c:numRef>
          </c:val>
          <c:extLst>
            <c:ext xmlns:c16="http://schemas.microsoft.com/office/drawing/2014/chart" uri="{C3380CC4-5D6E-409C-BE32-E72D297353CC}">
              <c16:uniqueId val="{00000000-50AB-43DE-A251-96CDB910CA49}"/>
            </c:ext>
          </c:extLst>
        </c:ser>
        <c:dLbls>
          <c:showLegendKey val="0"/>
          <c:showVal val="0"/>
          <c:showCatName val="0"/>
          <c:showSerName val="0"/>
          <c:showPercent val="0"/>
          <c:showBubbleSize val="0"/>
        </c:dLbls>
        <c:gapWidth val="182"/>
        <c:axId val="1723844960"/>
        <c:axId val="180420528"/>
      </c:barChart>
      <c:catAx>
        <c:axId val="1723844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180420528"/>
        <c:crosses val="autoZero"/>
        <c:auto val="1"/>
        <c:lblAlgn val="ctr"/>
        <c:lblOffset val="100"/>
        <c:noMultiLvlLbl val="0"/>
      </c:catAx>
      <c:valAx>
        <c:axId val="180420528"/>
        <c:scaling>
          <c:orientation val="minMax"/>
        </c:scaling>
        <c:delete val="0"/>
        <c:axPos val="b"/>
        <c:majorGridlines>
          <c:spPr>
            <a:ln w="9525" cap="flat" cmpd="sng" algn="ctr">
              <a:no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172384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[d2c_profit_model.xlsx.xlsx]Summary!PivotTable6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Which</a:t>
            </a:r>
            <a:r>
              <a:rPr lang="en-US" b="1" baseline="0">
                <a:solidFill>
                  <a:schemeClr val="tx1"/>
                </a:solidFill>
              </a:rPr>
              <a:t> Channel Has the Strongest</a:t>
            </a:r>
          </a:p>
          <a:p>
            <a:pPr>
              <a:defRPr/>
            </a:pPr>
            <a:r>
              <a:rPr lang="en-US" b="1" baseline="0">
                <a:solidFill>
                  <a:schemeClr val="tx1"/>
                </a:solidFill>
              </a:rPr>
              <a:t> CM2 per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rgbClr val="FF6600"/>
          </a:solidFill>
          <a:ln>
            <a:noFill/>
          </a:ln>
          <a:effectLst/>
        </c:spPr>
      </c:pivotFmt>
      <c:pivotFmt>
        <c:idx val="7"/>
        <c:spPr>
          <a:solidFill>
            <a:schemeClr val="accent5"/>
          </a:solidFill>
          <a:ln>
            <a:noFill/>
          </a:ln>
          <a:effectLst/>
        </c:spPr>
      </c:pivotFmt>
    </c:pivotFmts>
    <c:plotArea>
      <c:layout/>
      <c:barChart>
        <c:barDir val="col"/>
        <c:grouping val="clustered"/>
        <c:varyColors val="0"/>
        <c:ser>
          <c:idx val="0"/>
          <c:order val="0"/>
          <c:tx>
            <c:strRef>
              <c:f>Summary!$B$14</c:f>
              <c:strCache>
                <c:ptCount val="1"/>
                <c:pt idx="0">
                  <c:v>Total</c:v>
                </c:pt>
              </c:strCache>
            </c:strRef>
          </c:tx>
          <c:spPr>
            <a:solidFill>
              <a:srgbClr val="FF3399"/>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6993-46B9-9BCF-570E2445B98D}"/>
              </c:ext>
            </c:extLst>
          </c:dPt>
          <c:dPt>
            <c:idx val="1"/>
            <c:invertIfNegative val="0"/>
            <c:bubble3D val="0"/>
            <c:spPr>
              <a:solidFill>
                <a:srgbClr val="FF6600"/>
              </a:solidFill>
              <a:ln>
                <a:noFill/>
              </a:ln>
              <a:effectLst/>
            </c:spPr>
            <c:extLst>
              <c:ext xmlns:c16="http://schemas.microsoft.com/office/drawing/2014/chart" uri="{C3380CC4-5D6E-409C-BE32-E72D297353CC}">
                <c16:uniqueId val="{00000003-6993-46B9-9BCF-570E2445B98D}"/>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4-6993-46B9-9BCF-570E2445B98D}"/>
              </c:ext>
            </c:extLst>
          </c:dPt>
          <c:cat>
            <c:strRef>
              <c:f>Summary!$A$15:$A$18</c:f>
              <c:strCache>
                <c:ptCount val="3"/>
                <c:pt idx="0">
                  <c:v>Meesho</c:v>
                </c:pt>
                <c:pt idx="1">
                  <c:v>Myntra</c:v>
                </c:pt>
                <c:pt idx="2">
                  <c:v>Own Website</c:v>
                </c:pt>
              </c:strCache>
            </c:strRef>
          </c:cat>
          <c:val>
            <c:numRef>
              <c:f>Summary!$B$15:$B$18</c:f>
              <c:numCache>
                <c:formatCode>[$₹-4009]\ #,##0</c:formatCode>
                <c:ptCount val="3"/>
                <c:pt idx="0">
                  <c:v>242.49666666666664</c:v>
                </c:pt>
                <c:pt idx="1">
                  <c:v>78.729112499999999</c:v>
                </c:pt>
                <c:pt idx="2">
                  <c:v>330.38776250000006</c:v>
                </c:pt>
              </c:numCache>
            </c:numRef>
          </c:val>
          <c:extLst>
            <c:ext xmlns:c16="http://schemas.microsoft.com/office/drawing/2014/chart" uri="{C3380CC4-5D6E-409C-BE32-E72D297353CC}">
              <c16:uniqueId val="{00000000-E285-4D71-BC47-A1CE8EE914BC}"/>
            </c:ext>
          </c:extLst>
        </c:ser>
        <c:dLbls>
          <c:showLegendKey val="0"/>
          <c:showVal val="0"/>
          <c:showCatName val="0"/>
          <c:showSerName val="0"/>
          <c:showPercent val="0"/>
          <c:showBubbleSize val="0"/>
        </c:dLbls>
        <c:gapWidth val="219"/>
        <c:axId val="1829761648"/>
        <c:axId val="1835376976"/>
      </c:barChart>
      <c:catAx>
        <c:axId val="182976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5376976"/>
        <c:crosses val="autoZero"/>
        <c:auto val="1"/>
        <c:lblAlgn val="ctr"/>
        <c:lblOffset val="100"/>
        <c:noMultiLvlLbl val="0"/>
      </c:catAx>
      <c:valAx>
        <c:axId val="1835376976"/>
        <c:scaling>
          <c:orientation val="minMax"/>
        </c:scaling>
        <c:delete val="0"/>
        <c:axPos val="l"/>
        <c:majorGridlines>
          <c:spPr>
            <a:ln w="9525" cap="flat" cmpd="sng" algn="ctr">
              <a:no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976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[d2c_profit_model.xlsx.xlsx]Summary!PivotTable7</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How Much Are Returns Actually Costing 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Summary!$B$24</c:f>
              <c:strCache>
                <c:ptCount val="1"/>
                <c:pt idx="0">
                  <c:v>Sum of CM2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E8-4F99-9C7A-B2718A03B5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E8-4F99-9C7A-B2718A03B57A}"/>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5FE8-4F99-9C7A-B2718A03B57A}"/>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5FE8-4F99-9C7A-B2718A03B5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Summary!$A$25:$A$27</c:f>
              <c:strCache>
                <c:ptCount val="2"/>
                <c:pt idx="0">
                  <c:v>Delivered</c:v>
                </c:pt>
                <c:pt idx="1">
                  <c:v>Returned</c:v>
                </c:pt>
              </c:strCache>
            </c:strRef>
          </c:cat>
          <c:val>
            <c:numRef>
              <c:f>Summary!$B$25:$B$27</c:f>
              <c:numCache>
                <c:formatCode>[$₹-4009]\ #,##0.00</c:formatCode>
                <c:ptCount val="2"/>
                <c:pt idx="0">
                  <c:v>28597.34</c:v>
                </c:pt>
                <c:pt idx="1">
                  <c:v>-6775.7199999999975</c:v>
                </c:pt>
              </c:numCache>
            </c:numRef>
          </c:val>
          <c:extLst>
            <c:ext xmlns:c16="http://schemas.microsoft.com/office/drawing/2014/chart" uri="{C3380CC4-5D6E-409C-BE32-E72D297353CC}">
              <c16:uniqueId val="{00000004-5FE8-4F99-9C7A-B2718A03B57A}"/>
            </c:ext>
          </c:extLst>
        </c:ser>
        <c:ser>
          <c:idx val="1"/>
          <c:order val="1"/>
          <c:tx>
            <c:strRef>
              <c:f>Summary!$C$24</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5FE8-4F99-9C7A-B2718A03B5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5FE8-4F99-9C7A-B2718A03B57A}"/>
              </c:ext>
            </c:extLst>
          </c:dPt>
          <c:cat>
            <c:strRef>
              <c:f>Summary!$A$25:$A$27</c:f>
              <c:strCache>
                <c:ptCount val="2"/>
                <c:pt idx="0">
                  <c:v>Delivered</c:v>
                </c:pt>
                <c:pt idx="1">
                  <c:v>Returned</c:v>
                </c:pt>
              </c:strCache>
            </c:strRef>
          </c:cat>
          <c:val>
            <c:numRef>
              <c:f>Summary!$C$25:$C$27</c:f>
              <c:numCache>
                <c:formatCode>General</c:formatCode>
                <c:ptCount val="2"/>
                <c:pt idx="0">
                  <c:v>65</c:v>
                </c:pt>
                <c:pt idx="1">
                  <c:v>35</c:v>
                </c:pt>
              </c:numCache>
            </c:numRef>
          </c:val>
          <c:extLst>
            <c:ext xmlns:c16="http://schemas.microsoft.com/office/drawing/2014/chart" uri="{C3380CC4-5D6E-409C-BE32-E72D297353CC}">
              <c16:uniqueId val="{00000009-5FE8-4F99-9C7A-B2718A03B5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[d2c_profit_model.xlsx.xlsx]Summary!PivotTable9</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Which SKUs Are</a:t>
            </a:r>
            <a:r>
              <a:rPr lang="en-US" b="1" baseline="0">
                <a:solidFill>
                  <a:schemeClr val="tx1"/>
                </a:solidFill>
              </a:rPr>
              <a:t> Being Returned The Most?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Summary!$B$33:$B$34</c:f>
              <c:strCache>
                <c:ptCount val="1"/>
                <c:pt idx="0">
                  <c:v>Delivered</c:v>
                </c:pt>
              </c:strCache>
            </c:strRef>
          </c:tx>
          <c:spPr>
            <a:solidFill>
              <a:schemeClr val="accent1"/>
            </a:solidFill>
            <a:ln>
              <a:noFill/>
            </a:ln>
            <a:effectLst/>
          </c:spPr>
          <c:invertIfNegative val="0"/>
          <c:cat>
            <c:strRef>
              <c:f>Summary!$A$35:$A$40</c:f>
              <c:strCache>
                <c:ptCount val="5"/>
                <c:pt idx="0">
                  <c:v>Basic Cotton Kurta</c:v>
                </c:pt>
                <c:pt idx="1">
                  <c:v>Designer Kurta</c:v>
                </c:pt>
                <c:pt idx="2">
                  <c:v>Embroidered Kurta</c:v>
                </c:pt>
                <c:pt idx="3">
                  <c:v>Printed Kurta</c:v>
                </c:pt>
                <c:pt idx="4">
                  <c:v>Premium Silk Kurta</c:v>
                </c:pt>
              </c:strCache>
            </c:strRef>
          </c:cat>
          <c:val>
            <c:numRef>
              <c:f>Summary!$B$35:$B$40</c:f>
              <c:numCache>
                <c:formatCode>General</c:formatCode>
                <c:ptCount val="5"/>
                <c:pt idx="0">
                  <c:v>9</c:v>
                </c:pt>
                <c:pt idx="1">
                  <c:v>12</c:v>
                </c:pt>
                <c:pt idx="2">
                  <c:v>18</c:v>
                </c:pt>
                <c:pt idx="3">
                  <c:v>11</c:v>
                </c:pt>
                <c:pt idx="4">
                  <c:v>15</c:v>
                </c:pt>
              </c:numCache>
            </c:numRef>
          </c:val>
          <c:extLst>
            <c:ext xmlns:c16="http://schemas.microsoft.com/office/drawing/2014/chart" uri="{C3380CC4-5D6E-409C-BE32-E72D297353CC}">
              <c16:uniqueId val="{00000000-3F96-4CFA-830A-DB295D28A564}"/>
            </c:ext>
          </c:extLst>
        </c:ser>
        <c:ser>
          <c:idx val="1"/>
          <c:order val="1"/>
          <c:tx>
            <c:strRef>
              <c:f>Summary!$C$33:$C$34</c:f>
              <c:strCache>
                <c:ptCount val="1"/>
                <c:pt idx="0">
                  <c:v>Returned</c:v>
                </c:pt>
              </c:strCache>
            </c:strRef>
          </c:tx>
          <c:spPr>
            <a:solidFill>
              <a:schemeClr val="accent2"/>
            </a:solidFill>
            <a:ln>
              <a:noFill/>
            </a:ln>
            <a:effectLst/>
          </c:spPr>
          <c:invertIfNegative val="0"/>
          <c:cat>
            <c:strRef>
              <c:f>Summary!$A$35:$A$40</c:f>
              <c:strCache>
                <c:ptCount val="5"/>
                <c:pt idx="0">
                  <c:v>Basic Cotton Kurta</c:v>
                </c:pt>
                <c:pt idx="1">
                  <c:v>Designer Kurta</c:v>
                </c:pt>
                <c:pt idx="2">
                  <c:v>Embroidered Kurta</c:v>
                </c:pt>
                <c:pt idx="3">
                  <c:v>Printed Kurta</c:v>
                </c:pt>
                <c:pt idx="4">
                  <c:v>Premium Silk Kurta</c:v>
                </c:pt>
              </c:strCache>
            </c:strRef>
          </c:cat>
          <c:val>
            <c:numRef>
              <c:f>Summary!$C$35:$C$40</c:f>
              <c:numCache>
                <c:formatCode>General</c:formatCode>
                <c:ptCount val="5"/>
                <c:pt idx="0">
                  <c:v>5</c:v>
                </c:pt>
                <c:pt idx="1">
                  <c:v>3</c:v>
                </c:pt>
                <c:pt idx="2">
                  <c:v>7</c:v>
                </c:pt>
                <c:pt idx="3">
                  <c:v>9</c:v>
                </c:pt>
                <c:pt idx="4">
                  <c:v>11</c:v>
                </c:pt>
              </c:numCache>
            </c:numRef>
          </c:val>
          <c:extLst>
            <c:ext xmlns:c16="http://schemas.microsoft.com/office/drawing/2014/chart" uri="{C3380CC4-5D6E-409C-BE32-E72D297353CC}">
              <c16:uniqueId val="{0000000A-28EF-437D-948A-1B9F057664F2}"/>
            </c:ext>
          </c:extLst>
        </c:ser>
        <c:dLbls>
          <c:showLegendKey val="0"/>
          <c:showVal val="0"/>
          <c:showCatName val="0"/>
          <c:showSerName val="0"/>
          <c:showPercent val="0"/>
          <c:showBubbleSize val="0"/>
        </c:dLbls>
        <c:gapWidth val="219"/>
        <c:overlap val="-27"/>
        <c:axId val="1848619184"/>
        <c:axId val="1835421616"/>
      </c:barChart>
      <c:catAx>
        <c:axId val="184861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5421616"/>
        <c:crosses val="autoZero"/>
        <c:auto val="1"/>
        <c:lblAlgn val="ctr"/>
        <c:lblOffset val="100"/>
        <c:noMultiLvlLbl val="0"/>
      </c:catAx>
      <c:valAx>
        <c:axId val="18354216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61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Return Rate by SKU</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24063692038495188"/>
          <c:y val="0.17171296296296296"/>
          <c:w val="0.56353893263342081"/>
          <c:h val="0.72088764946048411"/>
        </c:manualLayout>
      </c:layout>
      <c:barChart>
        <c:barDir val="bar"/>
        <c:grouping val="clustered"/>
        <c:varyColors val="0"/>
        <c:ser>
          <c:idx val="0"/>
          <c:order val="0"/>
          <c:tx>
            <c:strRef>
              <c:f>Summary!$F$57</c:f>
              <c:strCache>
                <c:ptCount val="1"/>
                <c:pt idx="0">
                  <c:v>Return Rate</c:v>
                </c:pt>
              </c:strCache>
            </c:strRef>
          </c:tx>
          <c:spPr>
            <a:solidFill>
              <a:schemeClr val="accent5"/>
            </a:solidFill>
            <a:ln>
              <a:noFill/>
            </a:ln>
            <a:effectLst/>
          </c:spPr>
          <c:invertIfNegative val="0"/>
          <c:dLbls>
            <c:dLbl>
              <c:idx val="1"/>
              <c:layout>
                <c:manualLayout>
                  <c:x val="-5.5555555555556572E-3"/>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B6-404D-9385-08DFBFC0C3A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Summary!$E$58:$E$62</c:f>
              <c:strCache>
                <c:ptCount val="5"/>
                <c:pt idx="0">
                  <c:v>Basic Cotton Kurta</c:v>
                </c:pt>
                <c:pt idx="1">
                  <c:v>Printed Kurta</c:v>
                </c:pt>
                <c:pt idx="2">
                  <c:v>Embroidered Kurta</c:v>
                </c:pt>
                <c:pt idx="3">
                  <c:v>Designer Kurta</c:v>
                </c:pt>
                <c:pt idx="4">
                  <c:v>Premium Silk Kurta</c:v>
                </c:pt>
              </c:strCache>
            </c:strRef>
          </c:cat>
          <c:val>
            <c:numRef>
              <c:f>Summary!$F$58:$F$62</c:f>
              <c:numCache>
                <c:formatCode>0%</c:formatCode>
                <c:ptCount val="5"/>
                <c:pt idx="0">
                  <c:v>0.35714285714285715</c:v>
                </c:pt>
                <c:pt idx="1">
                  <c:v>0.45</c:v>
                </c:pt>
                <c:pt idx="2">
                  <c:v>0.28000000000000003</c:v>
                </c:pt>
                <c:pt idx="3">
                  <c:v>0.2</c:v>
                </c:pt>
                <c:pt idx="4">
                  <c:v>0.42307692307692307</c:v>
                </c:pt>
              </c:numCache>
            </c:numRef>
          </c:val>
          <c:extLst>
            <c:ext xmlns:c16="http://schemas.microsoft.com/office/drawing/2014/chart" uri="{C3380CC4-5D6E-409C-BE32-E72D297353CC}">
              <c16:uniqueId val="{00000000-28B6-404D-9385-08DFBFC0C3A6}"/>
            </c:ext>
          </c:extLst>
        </c:ser>
        <c:dLbls>
          <c:dLblPos val="outEnd"/>
          <c:showLegendKey val="0"/>
          <c:showVal val="1"/>
          <c:showCatName val="0"/>
          <c:showSerName val="0"/>
          <c:showPercent val="0"/>
          <c:showBubbleSize val="0"/>
        </c:dLbls>
        <c:gapWidth val="182"/>
        <c:axId val="1689255295"/>
        <c:axId val="1572135727"/>
      </c:barChart>
      <c:catAx>
        <c:axId val="1689255295"/>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72135727"/>
        <c:crosses val="autoZero"/>
        <c:auto val="1"/>
        <c:lblAlgn val="ctr"/>
        <c:lblOffset val="100"/>
        <c:noMultiLvlLbl val="0"/>
      </c:catAx>
      <c:valAx>
        <c:axId val="157213572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0"/>
          <a:lstStyle/>
          <a:p>
            <a:pPr>
              <a:defRPr sz="900" b="1" i="0" u="none" strike="noStrike" kern="1200" baseline="0">
                <a:ln>
                  <a:noFill/>
                </a:ln>
                <a:solidFill>
                  <a:schemeClr val="tx1"/>
                </a:solidFill>
                <a:latin typeface="+mn-lt"/>
                <a:ea typeface="+mn-ea"/>
                <a:cs typeface="+mn-cs"/>
              </a:defRPr>
            </a:pPr>
            <a:endParaRPr lang="en-US"/>
          </a:p>
        </c:txPr>
        <c:crossAx val="1689255295"/>
        <c:crosses val="autoZero"/>
        <c:crossBetween val="between"/>
      </c:val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11</xdr:row>
      <xdr:rowOff>3810</xdr:rowOff>
    </xdr:from>
    <xdr:to>
      <xdr:col>24</xdr:col>
      <xdr:colOff>76200</xdr:colOff>
      <xdr:row>25</xdr:row>
      <xdr:rowOff>0</xdr:rowOff>
    </xdr:to>
    <xdr:graphicFrame macro="">
      <xdr:nvGraphicFramePr>
        <xdr:cNvPr id="2" name="Chart 1">
          <a:extLst>
            <a:ext uri="{FF2B5EF4-FFF2-40B4-BE49-F238E27FC236}">
              <a16:creationId xmlns:a16="http://schemas.microsoft.com/office/drawing/2014/main" id="{5D9C621F-F09B-834E-691C-FA5FEBEEA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26</xdr:col>
      <xdr:colOff>182880</xdr:colOff>
      <xdr:row>10</xdr:row>
      <xdr:rowOff>179070</xdr:rowOff>
    </xdr:from>
    <xdr:to>
      <xdr:col>49</xdr:col>
      <xdr:colOff>68580</xdr:colOff>
      <xdr:row>25</xdr:row>
      <xdr:rowOff>0</xdr:rowOff>
    </xdr:to>
    <xdr:graphicFrame macro="">
      <xdr:nvGraphicFramePr>
        <xdr:cNvPr id="3" name="Chart 2">
          <a:extLst>
            <a:ext uri="{FF2B5EF4-FFF2-40B4-BE49-F238E27FC236}">
              <a16:creationId xmlns:a16="http://schemas.microsoft.com/office/drawing/2014/main" id="{3BB16699-709B-3D81-2CB0-7FDB7BAA4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167640</xdr:colOff>
      <xdr:row>26</xdr:row>
      <xdr:rowOff>171450</xdr:rowOff>
    </xdr:from>
    <xdr:to>
      <xdr:col>23</xdr:col>
      <xdr:colOff>182880</xdr:colOff>
      <xdr:row>38</xdr:row>
      <xdr:rowOff>152400</xdr:rowOff>
    </xdr:to>
    <xdr:graphicFrame macro="">
      <xdr:nvGraphicFramePr>
        <xdr:cNvPr id="4" name="Chart 3">
          <a:extLst>
            <a:ext uri="{FF2B5EF4-FFF2-40B4-BE49-F238E27FC236}">
              <a16:creationId xmlns:a16="http://schemas.microsoft.com/office/drawing/2014/main" id="{E938E4C1-2412-804B-32DE-975E392CF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27</xdr:col>
      <xdr:colOff>7620</xdr:colOff>
      <xdr:row>26</xdr:row>
      <xdr:rowOff>179070</xdr:rowOff>
    </xdr:from>
    <xdr:to>
      <xdr:col>51</xdr:col>
      <xdr:colOff>22860</xdr:colOff>
      <xdr:row>38</xdr:row>
      <xdr:rowOff>175260</xdr:rowOff>
    </xdr:to>
    <xdr:graphicFrame macro="">
      <xdr:nvGraphicFramePr>
        <xdr:cNvPr id="5" name="Chart 4">
          <a:extLst>
            <a:ext uri="{FF2B5EF4-FFF2-40B4-BE49-F238E27FC236}">
              <a16:creationId xmlns:a16="http://schemas.microsoft.com/office/drawing/2014/main" id="{4830AA0E-E62A-5E82-ED6D-01775F440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53</xdr:col>
      <xdr:colOff>0</xdr:colOff>
      <xdr:row>4</xdr:row>
      <xdr:rowOff>7621</xdr:rowOff>
    </xdr:from>
    <xdr:to>
      <xdr:col>63</xdr:col>
      <xdr:colOff>0</xdr:colOff>
      <xdr:row>10</xdr:row>
      <xdr:rowOff>68581</xdr:rowOff>
    </xdr:to>
    <mc:AlternateContent xmlns:mc="http://schemas.openxmlformats.org/markup-compatibility/2006" xmlns:a14="http://schemas.microsoft.com/office/drawing/2010/main">
      <mc:Choice Requires="a14">
        <xdr:graphicFrame macro="">
          <xdr:nvGraphicFramePr>
            <xdr:cNvPr id="7" name="Channel">
              <a:extLst>
                <a:ext uri="{FF2B5EF4-FFF2-40B4-BE49-F238E27FC236}">
                  <a16:creationId xmlns:a16="http://schemas.microsoft.com/office/drawing/2014/main" id="{206F9CF2-25CD-453A-9A97-6B51A30E737E}"/>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096500" y="739141"/>
              <a:ext cx="1905000" cy="1158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7620</xdr:colOff>
      <xdr:row>27</xdr:row>
      <xdr:rowOff>7621</xdr:rowOff>
    </xdr:from>
    <xdr:to>
      <xdr:col>63</xdr:col>
      <xdr:colOff>15240</xdr:colOff>
      <xdr:row>32</xdr:row>
      <xdr:rowOff>7621</xdr:rowOff>
    </xdr:to>
    <mc:AlternateContent xmlns:mc="http://schemas.openxmlformats.org/markup-compatibility/2006" xmlns:a14="http://schemas.microsoft.com/office/drawing/2010/main">
      <mc:Choice Requires="a14">
        <xdr:graphicFrame macro="">
          <xdr:nvGraphicFramePr>
            <xdr:cNvPr id="8" name="Order Status">
              <a:extLst>
                <a:ext uri="{FF2B5EF4-FFF2-40B4-BE49-F238E27FC236}">
                  <a16:creationId xmlns:a16="http://schemas.microsoft.com/office/drawing/2014/main" id="{42B1AA39-24B5-478B-A537-337A105A25FC}"/>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0104120" y="4945381"/>
              <a:ext cx="191262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7620</xdr:colOff>
      <xdr:row>15</xdr:row>
      <xdr:rowOff>0</xdr:rowOff>
    </xdr:from>
    <xdr:to>
      <xdr:col>63</xdr:col>
      <xdr:colOff>0</xdr:colOff>
      <xdr:row>24</xdr:row>
      <xdr:rowOff>60960</xdr:rowOff>
    </xdr:to>
    <mc:AlternateContent xmlns:mc="http://schemas.openxmlformats.org/markup-compatibility/2006" xmlns:a14="http://schemas.microsoft.com/office/drawing/2010/main">
      <mc:Choice Requires="a14">
        <xdr:graphicFrame macro="">
          <xdr:nvGraphicFramePr>
            <xdr:cNvPr id="9" name="SKU Name">
              <a:extLst>
                <a:ext uri="{FF2B5EF4-FFF2-40B4-BE49-F238E27FC236}">
                  <a16:creationId xmlns:a16="http://schemas.microsoft.com/office/drawing/2014/main" id="{BF49DD93-917A-4A18-A01E-063873EB030B}"/>
                </a:ext>
              </a:extLst>
            </xdr:cNvPr>
            <xdr:cNvGraphicFramePr/>
          </xdr:nvGraphicFramePr>
          <xdr:xfrm>
            <a:off x="0" y="0"/>
            <a:ext cx="0" cy="0"/>
          </xdr:xfrm>
          <a:graphic>
            <a:graphicData uri="http://schemas.microsoft.com/office/drawing/2010/slicer">
              <sle:slicer xmlns:sle="http://schemas.microsoft.com/office/drawing/2010/slicer" name="SKU Name"/>
            </a:graphicData>
          </a:graphic>
        </xdr:graphicFrame>
      </mc:Choice>
      <mc:Fallback xmlns="">
        <xdr:sp macro="" textlink="">
          <xdr:nvSpPr>
            <xdr:cNvPr id="0" name=""/>
            <xdr:cNvSpPr>
              <a:spLocks noTextEdit="1"/>
            </xdr:cNvSpPr>
          </xdr:nvSpPr>
          <xdr:spPr>
            <a:xfrm>
              <a:off x="10104120" y="2743200"/>
              <a:ext cx="189738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106680</xdr:colOff>
      <xdr:row>43</xdr:row>
      <xdr:rowOff>19050</xdr:rowOff>
    </xdr:from>
    <xdr:to>
      <xdr:col>25</xdr:col>
      <xdr:colOff>106680</xdr:colOff>
      <xdr:row>58</xdr:row>
      <xdr:rowOff>19050</xdr:rowOff>
    </xdr:to>
    <xdr:graphicFrame macro="">
      <xdr:nvGraphicFramePr>
        <xdr:cNvPr id="6" name="Chart 2">
          <a:extLst>
            <a:ext uri="{FF2B5EF4-FFF2-40B4-BE49-F238E27FC236}">
              <a16:creationId xmlns:a16="http://schemas.microsoft.com/office/drawing/2014/main" id="{15C95EE9-6814-AEA0-8DF2-AAE642D34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54</xdr:col>
      <xdr:colOff>0</xdr:colOff>
      <xdr:row>44</xdr:row>
      <xdr:rowOff>129541</xdr:rowOff>
    </xdr:from>
    <xdr:to>
      <xdr:col>62</xdr:col>
      <xdr:colOff>30480</xdr:colOff>
      <xdr:row>51</xdr:row>
      <xdr:rowOff>129541</xdr:rowOff>
    </xdr:to>
    <mc:AlternateContent xmlns:mc="http://schemas.openxmlformats.org/markup-compatibility/2006" xmlns:sle15="http://schemas.microsoft.com/office/drawing/2012/slicer">
      <mc:Choice Requires="sle15">
        <xdr:graphicFrame macro="">
          <xdr:nvGraphicFramePr>
            <xdr:cNvPr id="10" name="Return Rate">
              <a:extLst>
                <a:ext uri="{FF2B5EF4-FFF2-40B4-BE49-F238E27FC236}">
                  <a16:creationId xmlns:a16="http://schemas.microsoft.com/office/drawing/2014/main" id="{AAC89262-ADCC-4F0F-AE26-B375A4FB3E8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turn Rate"/>
            </a:graphicData>
          </a:graphic>
        </xdr:graphicFrame>
      </mc:Choice>
      <mc:Fallback xmlns="">
        <xdr:sp macro="" textlink="">
          <xdr:nvSpPr>
            <xdr:cNvPr id="0" name=""/>
            <xdr:cNvSpPr>
              <a:spLocks noTextEdit="1"/>
            </xdr:cNvSpPr>
          </xdr:nvSpPr>
          <xdr:spPr>
            <a:xfrm>
              <a:off x="10287000" y="8176261"/>
              <a:ext cx="1554480" cy="12801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arkar" refreshedDate="46272.640630671296" createdVersion="8" refreshedVersion="8" minRefreshableVersion="3" recordCount="100" xr:uid="{6CBF6595-05B6-4F45-A373-080A4BD50B4D}">
  <cacheSource type="worksheet">
    <worksheetSource ref="A1:T101" sheet="Orders"/>
  </cacheSource>
  <cacheFields count="20">
    <cacheField name="Order ID" numFmtId="0">
      <sharedItems/>
    </cacheField>
    <cacheField name="SKU ID" numFmtId="0">
      <sharedItems/>
    </cacheField>
    <cacheField name="SKU Name" numFmtId="0">
      <sharedItems count="6">
        <s v="Basic Cotton Kurta"/>
        <s v="Premium Silk Kurta"/>
        <s v="Embroidered Kurta"/>
        <s v="Printed Kurta"/>
        <s v="Designer Kurta"/>
        <s v="Premium Skill Kurta" u="1"/>
      </sharedItems>
    </cacheField>
    <cacheField name="Channel" numFmtId="0">
      <sharedItems count="3">
        <s v="Own Website"/>
        <s v="Meesho"/>
        <s v="Myntra"/>
      </sharedItems>
    </cacheField>
    <cacheField name="Payment Type" numFmtId="0">
      <sharedItems/>
    </cacheField>
    <cacheField name="Order Status" numFmtId="0">
      <sharedItems count="2">
        <s v="Delivered"/>
        <s v="Returned"/>
      </sharedItems>
    </cacheField>
    <cacheField name="Selling Price " numFmtId="164">
      <sharedItems containsSemiMixedTypes="0" containsString="0" containsNumber="1" containsInteger="1" minValue="599" maxValue="1899"/>
    </cacheField>
    <cacheField name="Product Cost" numFmtId="164">
      <sharedItems containsSemiMixedTypes="0" containsString="0" containsNumber="1" containsInteger="1" minValue="210" maxValue="645"/>
    </cacheField>
    <cacheField name="Packaging " numFmtId="164">
      <sharedItems containsSemiMixedTypes="0" containsString="0" containsNumber="1" containsInteger="1" minValue="20" maxValue="45"/>
    </cacheField>
    <cacheField name="Commission%" numFmtId="9">
      <sharedItems containsSemiMixedTypes="0" containsString="0" containsNumber="1" minValue="0.02" maxValue="0.22"/>
    </cacheField>
    <cacheField name="Fixed Fee" numFmtId="164">
      <sharedItems containsSemiMixedTypes="0" containsString="0" containsNumber="1" containsInteger="1" minValue="0" maxValue="70"/>
    </cacheField>
    <cacheField name="Fwd Shipping " numFmtId="164">
      <sharedItems containsSemiMixedTypes="0" containsString="0" containsNumber="1" containsInteger="1" minValue="60" maxValue="75"/>
    </cacheField>
    <cacheField name="Reverse Shipping" numFmtId="164">
      <sharedItems containsSemiMixedTypes="0" containsString="0" containsNumber="1" containsInteger="1" minValue="60" maxValue="75"/>
    </cacheField>
    <cacheField name="COD Flat Fee" numFmtId="164">
      <sharedItems containsSemiMixedTypes="0" containsString="0" containsNumber="1" containsInteger="1" minValue="0" maxValue="35"/>
    </cacheField>
    <cacheField name="COD%" numFmtId="9">
      <sharedItems containsSemiMixedTypes="0" containsString="0" containsNumber="1" minValue="0" maxValue="0.02"/>
    </cacheField>
    <cacheField name="Platform Commission" numFmtId="164">
      <sharedItems containsSemiMixedTypes="0" containsString="0" containsNumber="1" minValue="11.98" maxValue="417.78000000000003"/>
    </cacheField>
    <cacheField name="GST on Fees" numFmtId="164">
      <sharedItems containsSemiMixedTypes="0" containsString="0" containsNumber="1" minValue="2.1564000000000001" maxValue="87.800399999999996"/>
    </cacheField>
    <cacheField name="COD Handling Fee" numFmtId="164">
      <sharedItems containsSemiMixedTypes="0" containsString="0" containsNumber="1" minValue="0" maxValue="72.98"/>
    </cacheField>
    <cacheField name="Reverse Shipping Cost" numFmtId="164">
      <sharedItems containsSemiMixedTypes="0" containsString="0" containsNumber="1" containsInteger="1" minValue="0" maxValue="75"/>
    </cacheField>
    <cacheField name="CM2" numFmtId="164">
      <sharedItems containsSemiMixedTypes="0" containsString="0" containsNumber="1" minValue="-257.98" maxValue="1089.1836000000001"/>
    </cacheField>
  </cacheFields>
  <extLst>
    <ext xmlns:x14="http://schemas.microsoft.com/office/spreadsheetml/2009/9/main" uri="{725AE2AE-9491-48be-B2B4-4EB974FC3084}">
      <x14:pivotCacheDefinition pivotCacheId="207887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s v="SKU001"/>
    <x v="0"/>
    <x v="0"/>
    <s v="Prepaid"/>
    <x v="0"/>
    <n v="599"/>
    <n v="210"/>
    <n v="20"/>
    <n v="0.02"/>
    <n v="0"/>
    <n v="75"/>
    <n v="75"/>
    <n v="0"/>
    <n v="0"/>
    <n v="11.98"/>
    <n v="2.1564000000000001"/>
    <n v="0"/>
    <n v="0"/>
    <n v="279.86359999999996"/>
  </r>
  <r>
    <s v="ORD002"/>
    <s v="SKU005"/>
    <x v="1"/>
    <x v="0"/>
    <s v="Prepaid"/>
    <x v="0"/>
    <n v="1899"/>
    <n v="645"/>
    <n v="45"/>
    <n v="0.02"/>
    <n v="0"/>
    <n v="75"/>
    <n v="75"/>
    <n v="0"/>
    <n v="0"/>
    <n v="37.980000000000004"/>
    <n v="6.8364000000000003"/>
    <n v="0"/>
    <n v="0"/>
    <n v="1089.1836000000001"/>
  </r>
  <r>
    <s v="ORD003"/>
    <s v="SKU003"/>
    <x v="2"/>
    <x v="1"/>
    <s v="COD"/>
    <x v="0"/>
    <n v="999"/>
    <n v="350"/>
    <n v="30"/>
    <n v="0.12"/>
    <n v="40"/>
    <n v="60"/>
    <n v="60"/>
    <n v="35"/>
    <n v="0.02"/>
    <n v="119.88"/>
    <n v="28.778399999999998"/>
    <n v="54.980000000000004"/>
    <n v="0"/>
    <n v="315.36159999999995"/>
  </r>
  <r>
    <s v="ORD004"/>
    <s v="SKU003"/>
    <x v="2"/>
    <x v="0"/>
    <s v="Prepaid"/>
    <x v="0"/>
    <n v="999"/>
    <n v="350"/>
    <n v="30"/>
    <n v="0.02"/>
    <n v="0"/>
    <n v="75"/>
    <n v="75"/>
    <n v="0"/>
    <n v="0"/>
    <n v="19.98"/>
    <n v="3.5964"/>
    <n v="0"/>
    <n v="0"/>
    <n v="520.42359999999996"/>
  </r>
  <r>
    <s v="ORD005"/>
    <s v="SKU001"/>
    <x v="0"/>
    <x v="2"/>
    <s v="Prepaid"/>
    <x v="0"/>
    <n v="599"/>
    <n v="210"/>
    <n v="20"/>
    <n v="0.22"/>
    <n v="70"/>
    <n v="70"/>
    <n v="70"/>
    <n v="35"/>
    <n v="0.02"/>
    <n v="131.78"/>
    <n v="36.320399999999999"/>
    <n v="0"/>
    <n v="0"/>
    <n v="60.899600000000021"/>
  </r>
  <r>
    <s v="ORD006"/>
    <s v="SKU002"/>
    <x v="3"/>
    <x v="1"/>
    <s v="Prepaid"/>
    <x v="1"/>
    <n v="799"/>
    <n v="280"/>
    <n v="25"/>
    <n v="0.12"/>
    <n v="40"/>
    <n v="60"/>
    <n v="60"/>
    <n v="35"/>
    <n v="0.02"/>
    <n v="95.88"/>
    <n v="24.458399999999997"/>
    <n v="0"/>
    <n v="60"/>
    <n v="-145"/>
  </r>
  <r>
    <s v="ORD007"/>
    <s v="SKU001"/>
    <x v="0"/>
    <x v="2"/>
    <s v="Prepaid"/>
    <x v="0"/>
    <n v="599"/>
    <n v="210"/>
    <n v="20"/>
    <n v="0.22"/>
    <n v="70"/>
    <n v="70"/>
    <n v="70"/>
    <n v="35"/>
    <n v="0.02"/>
    <n v="131.78"/>
    <n v="36.320399999999999"/>
    <n v="0"/>
    <n v="0"/>
    <n v="60.899600000000021"/>
  </r>
  <r>
    <s v="ORD008"/>
    <s v="SKU002"/>
    <x v="3"/>
    <x v="1"/>
    <s v="Prepaid"/>
    <x v="0"/>
    <n v="799"/>
    <n v="280"/>
    <n v="25"/>
    <n v="0.12"/>
    <n v="40"/>
    <n v="60"/>
    <n v="60"/>
    <n v="35"/>
    <n v="0.02"/>
    <n v="95.88"/>
    <n v="24.458399999999997"/>
    <n v="0"/>
    <n v="0"/>
    <n v="273.66160000000002"/>
  </r>
  <r>
    <s v="ORD009"/>
    <s v="SKU002"/>
    <x v="3"/>
    <x v="1"/>
    <s v="Prepaid"/>
    <x v="0"/>
    <n v="799"/>
    <n v="280"/>
    <n v="25"/>
    <n v="0.12"/>
    <n v="40"/>
    <n v="60"/>
    <n v="60"/>
    <n v="35"/>
    <n v="0.02"/>
    <n v="95.88"/>
    <n v="24.458399999999997"/>
    <n v="0"/>
    <n v="0"/>
    <n v="273.66160000000002"/>
  </r>
  <r>
    <s v="ORD010"/>
    <s v="SKU003"/>
    <x v="2"/>
    <x v="1"/>
    <s v="COD"/>
    <x v="1"/>
    <n v="999"/>
    <n v="350"/>
    <n v="30"/>
    <n v="0.12"/>
    <n v="40"/>
    <n v="60"/>
    <n v="60"/>
    <n v="35"/>
    <n v="0.02"/>
    <n v="119.88"/>
    <n v="28.778399999999998"/>
    <n v="54.980000000000004"/>
    <n v="60"/>
    <n v="-204.98000000000002"/>
  </r>
  <r>
    <s v="ORD011"/>
    <s v="SKU001"/>
    <x v="0"/>
    <x v="2"/>
    <s v="Prepaid"/>
    <x v="0"/>
    <n v="599"/>
    <n v="210"/>
    <n v="20"/>
    <n v="0.22"/>
    <n v="70"/>
    <n v="70"/>
    <n v="70"/>
    <n v="35"/>
    <n v="0.02"/>
    <n v="131.78"/>
    <n v="36.320399999999999"/>
    <n v="0"/>
    <n v="0"/>
    <n v="60.899600000000021"/>
  </r>
  <r>
    <s v="ORD012"/>
    <s v="SKU004"/>
    <x v="4"/>
    <x v="1"/>
    <s v="COD"/>
    <x v="1"/>
    <n v="1299"/>
    <n v="455"/>
    <n v="40"/>
    <n v="0.12"/>
    <n v="40"/>
    <n v="60"/>
    <n v="60"/>
    <n v="35"/>
    <n v="0.02"/>
    <n v="155.88"/>
    <n v="35.258399999999995"/>
    <n v="60.980000000000004"/>
    <n v="60"/>
    <n v="-220.98000000000002"/>
  </r>
  <r>
    <s v="ORD013"/>
    <s v="SKU001"/>
    <x v="0"/>
    <x v="2"/>
    <s v="COD"/>
    <x v="0"/>
    <n v="599"/>
    <n v="210"/>
    <n v="20"/>
    <n v="0.22"/>
    <n v="70"/>
    <n v="70"/>
    <n v="70"/>
    <n v="35"/>
    <n v="0.02"/>
    <n v="131.78"/>
    <n v="36.320399999999999"/>
    <n v="46.980000000000004"/>
    <n v="0"/>
    <n v="13.919600000000003"/>
  </r>
  <r>
    <s v="ORD014"/>
    <s v="SKU001"/>
    <x v="0"/>
    <x v="0"/>
    <s v="Prepaid"/>
    <x v="0"/>
    <n v="599"/>
    <n v="210"/>
    <n v="20"/>
    <n v="0.02"/>
    <n v="0"/>
    <n v="75"/>
    <n v="75"/>
    <n v="0"/>
    <n v="0"/>
    <n v="11.98"/>
    <n v="2.1564000000000001"/>
    <n v="0"/>
    <n v="0"/>
    <n v="279.86359999999996"/>
  </r>
  <r>
    <s v="ORD015"/>
    <s v="SKU003"/>
    <x v="2"/>
    <x v="0"/>
    <s v="Prepaid"/>
    <x v="0"/>
    <n v="999"/>
    <n v="350"/>
    <n v="30"/>
    <n v="0.02"/>
    <n v="0"/>
    <n v="75"/>
    <n v="75"/>
    <n v="0"/>
    <n v="0"/>
    <n v="19.98"/>
    <n v="3.5964"/>
    <n v="0"/>
    <n v="0"/>
    <n v="520.42359999999996"/>
  </r>
  <r>
    <s v="ORD016"/>
    <s v="SKU003"/>
    <x v="2"/>
    <x v="2"/>
    <s v="Prepaid"/>
    <x v="0"/>
    <n v="999"/>
    <n v="350"/>
    <n v="30"/>
    <n v="0.22"/>
    <n v="70"/>
    <n v="70"/>
    <n v="70"/>
    <n v="35"/>
    <n v="0.02"/>
    <n v="219.78"/>
    <n v="52.160399999999996"/>
    <n v="0"/>
    <n v="0"/>
    <n v="207.05960000000005"/>
  </r>
  <r>
    <s v="ORD017"/>
    <s v="SKU002"/>
    <x v="3"/>
    <x v="0"/>
    <s v="Prepaid"/>
    <x v="1"/>
    <n v="799"/>
    <n v="280"/>
    <n v="25"/>
    <n v="0.02"/>
    <n v="0"/>
    <n v="75"/>
    <n v="75"/>
    <n v="0"/>
    <n v="0"/>
    <n v="15.98"/>
    <n v="2.8763999999999998"/>
    <n v="0"/>
    <n v="75"/>
    <n v="-175"/>
  </r>
  <r>
    <s v="ORD018"/>
    <s v="SKU005"/>
    <x v="1"/>
    <x v="1"/>
    <s v="COD"/>
    <x v="1"/>
    <n v="1899"/>
    <n v="645"/>
    <n v="45"/>
    <n v="0.12"/>
    <n v="40"/>
    <n v="60"/>
    <n v="60"/>
    <n v="35"/>
    <n v="0.02"/>
    <n v="227.88"/>
    <n v="48.218399999999995"/>
    <n v="72.98"/>
    <n v="60"/>
    <n v="-237.98000000000002"/>
  </r>
  <r>
    <s v="ORD019"/>
    <s v="SKU001"/>
    <x v="0"/>
    <x v="1"/>
    <s v="Prepaid"/>
    <x v="0"/>
    <n v="599"/>
    <n v="210"/>
    <n v="20"/>
    <n v="0.12"/>
    <n v="40"/>
    <n v="60"/>
    <n v="60"/>
    <n v="35"/>
    <n v="0.02"/>
    <n v="71.88"/>
    <n v="20.138399999999997"/>
    <n v="0"/>
    <n v="0"/>
    <n v="176.98160000000001"/>
  </r>
  <r>
    <s v="ORD020"/>
    <s v="SKU001"/>
    <x v="0"/>
    <x v="1"/>
    <s v="COD"/>
    <x v="1"/>
    <n v="599"/>
    <n v="210"/>
    <n v="20"/>
    <n v="0.12"/>
    <n v="40"/>
    <n v="60"/>
    <n v="60"/>
    <n v="35"/>
    <n v="0.02"/>
    <n v="71.88"/>
    <n v="20.138399999999997"/>
    <n v="46.980000000000004"/>
    <n v="60"/>
    <n v="-186.98000000000002"/>
  </r>
  <r>
    <s v="ORD021"/>
    <s v="SKU003"/>
    <x v="2"/>
    <x v="0"/>
    <s v="Prepaid"/>
    <x v="1"/>
    <n v="999"/>
    <n v="350"/>
    <n v="30"/>
    <n v="0.02"/>
    <n v="0"/>
    <n v="75"/>
    <n v="75"/>
    <n v="0"/>
    <n v="0"/>
    <n v="19.98"/>
    <n v="3.5964"/>
    <n v="0"/>
    <n v="75"/>
    <n v="-180"/>
  </r>
  <r>
    <s v="ORD022"/>
    <s v="SKU004"/>
    <x v="4"/>
    <x v="1"/>
    <s v="COD"/>
    <x v="0"/>
    <n v="1299"/>
    <n v="455"/>
    <n v="40"/>
    <n v="0.12"/>
    <n v="40"/>
    <n v="60"/>
    <n v="60"/>
    <n v="35"/>
    <n v="0.02"/>
    <n v="155.88"/>
    <n v="35.258399999999995"/>
    <n v="60.980000000000004"/>
    <n v="0"/>
    <n v="451.88159999999993"/>
  </r>
  <r>
    <s v="ORD023"/>
    <s v="SKU004"/>
    <x v="4"/>
    <x v="0"/>
    <s v="Prepaid"/>
    <x v="0"/>
    <n v="1299"/>
    <n v="455"/>
    <n v="40"/>
    <n v="0.02"/>
    <n v="0"/>
    <n v="75"/>
    <n v="75"/>
    <n v="0"/>
    <n v="0"/>
    <n v="25.98"/>
    <n v="4.6764000000000001"/>
    <n v="0"/>
    <n v="0"/>
    <n v="698.34359999999992"/>
  </r>
  <r>
    <s v="ORD024"/>
    <s v="SKU003"/>
    <x v="2"/>
    <x v="0"/>
    <s v="Prepaid"/>
    <x v="0"/>
    <n v="999"/>
    <n v="350"/>
    <n v="30"/>
    <n v="0.02"/>
    <n v="0"/>
    <n v="75"/>
    <n v="75"/>
    <n v="0"/>
    <n v="0"/>
    <n v="19.98"/>
    <n v="3.5964"/>
    <n v="0"/>
    <n v="0"/>
    <n v="520.42359999999996"/>
  </r>
  <r>
    <s v="ORD025"/>
    <s v="SKU002"/>
    <x v="3"/>
    <x v="2"/>
    <s v="Prepaid"/>
    <x v="1"/>
    <n v="799"/>
    <n v="280"/>
    <n v="25"/>
    <n v="0.22"/>
    <n v="70"/>
    <n v="70"/>
    <n v="70"/>
    <n v="35"/>
    <n v="0.02"/>
    <n v="175.78"/>
    <n v="44.240400000000001"/>
    <n v="0"/>
    <n v="70"/>
    <n v="-165"/>
  </r>
  <r>
    <s v="ORD026"/>
    <s v="SKU002"/>
    <x v="3"/>
    <x v="1"/>
    <s v="Prepaid"/>
    <x v="0"/>
    <n v="799"/>
    <n v="280"/>
    <n v="25"/>
    <n v="0.12"/>
    <n v="40"/>
    <n v="60"/>
    <n v="60"/>
    <n v="35"/>
    <n v="0.02"/>
    <n v="95.88"/>
    <n v="24.458399999999997"/>
    <n v="0"/>
    <n v="0"/>
    <n v="273.66160000000002"/>
  </r>
  <r>
    <s v="ORD027"/>
    <s v="SKU003"/>
    <x v="2"/>
    <x v="2"/>
    <s v="Prepaid"/>
    <x v="0"/>
    <n v="999"/>
    <n v="350"/>
    <n v="30"/>
    <n v="0.22"/>
    <n v="70"/>
    <n v="70"/>
    <n v="70"/>
    <n v="35"/>
    <n v="0.02"/>
    <n v="219.78"/>
    <n v="52.160399999999996"/>
    <n v="0"/>
    <n v="0"/>
    <n v="207.05960000000005"/>
  </r>
  <r>
    <s v="ORD028"/>
    <s v="SKU004"/>
    <x v="4"/>
    <x v="1"/>
    <s v="COD"/>
    <x v="0"/>
    <n v="1299"/>
    <n v="455"/>
    <n v="40"/>
    <n v="0.12"/>
    <n v="40"/>
    <n v="60"/>
    <n v="60"/>
    <n v="35"/>
    <n v="0.02"/>
    <n v="155.88"/>
    <n v="35.258399999999995"/>
    <n v="60.980000000000004"/>
    <n v="0"/>
    <n v="451.88159999999993"/>
  </r>
  <r>
    <s v="ORD029"/>
    <s v="SKU005"/>
    <x v="1"/>
    <x v="0"/>
    <s v="Prepaid"/>
    <x v="0"/>
    <n v="1899"/>
    <n v="645"/>
    <n v="45"/>
    <n v="0.02"/>
    <n v="0"/>
    <n v="75"/>
    <n v="75"/>
    <n v="0"/>
    <n v="0"/>
    <n v="37.980000000000004"/>
    <n v="6.8364000000000003"/>
    <n v="0"/>
    <n v="0"/>
    <n v="1089.1836000000001"/>
  </r>
  <r>
    <s v="ORD030"/>
    <s v="SKU001"/>
    <x v="0"/>
    <x v="2"/>
    <s v="Prepaid"/>
    <x v="1"/>
    <n v="599"/>
    <n v="210"/>
    <n v="20"/>
    <n v="0.22"/>
    <n v="70"/>
    <n v="70"/>
    <n v="70"/>
    <n v="35"/>
    <n v="0.02"/>
    <n v="131.78"/>
    <n v="36.320399999999999"/>
    <n v="0"/>
    <n v="70"/>
    <n v="-160"/>
  </r>
  <r>
    <s v="ORD031"/>
    <s v="SKU005"/>
    <x v="1"/>
    <x v="1"/>
    <s v="Prepaid"/>
    <x v="0"/>
    <n v="1899"/>
    <n v="645"/>
    <n v="45"/>
    <n v="0.12"/>
    <n v="40"/>
    <n v="60"/>
    <n v="60"/>
    <n v="35"/>
    <n v="0.02"/>
    <n v="227.88"/>
    <n v="48.218399999999995"/>
    <n v="0"/>
    <n v="0"/>
    <n v="832.90159999999992"/>
  </r>
  <r>
    <s v="ORD032"/>
    <s v="SKU003"/>
    <x v="2"/>
    <x v="0"/>
    <s v="Prepaid"/>
    <x v="1"/>
    <n v="999"/>
    <n v="350"/>
    <n v="30"/>
    <n v="0.02"/>
    <n v="0"/>
    <n v="75"/>
    <n v="75"/>
    <n v="0"/>
    <n v="0"/>
    <n v="19.98"/>
    <n v="3.5964"/>
    <n v="0"/>
    <n v="75"/>
    <n v="-180"/>
  </r>
  <r>
    <s v="ORD033"/>
    <s v="SKU003"/>
    <x v="2"/>
    <x v="1"/>
    <s v="Prepaid"/>
    <x v="1"/>
    <n v="999"/>
    <n v="350"/>
    <n v="30"/>
    <n v="0.12"/>
    <n v="40"/>
    <n v="60"/>
    <n v="60"/>
    <n v="35"/>
    <n v="0.02"/>
    <n v="119.88"/>
    <n v="28.778399999999998"/>
    <n v="0"/>
    <n v="60"/>
    <n v="-150"/>
  </r>
  <r>
    <s v="ORD034"/>
    <s v="SKU001"/>
    <x v="0"/>
    <x v="0"/>
    <s v="Prepaid"/>
    <x v="0"/>
    <n v="599"/>
    <n v="210"/>
    <n v="20"/>
    <n v="0.02"/>
    <n v="0"/>
    <n v="75"/>
    <n v="75"/>
    <n v="0"/>
    <n v="0"/>
    <n v="11.98"/>
    <n v="2.1564000000000001"/>
    <n v="0"/>
    <n v="0"/>
    <n v="279.86359999999996"/>
  </r>
  <r>
    <s v="ORD035"/>
    <s v="SKU002"/>
    <x v="3"/>
    <x v="2"/>
    <s v="Prepaid"/>
    <x v="0"/>
    <n v="799"/>
    <n v="280"/>
    <n v="25"/>
    <n v="0.22"/>
    <n v="70"/>
    <n v="70"/>
    <n v="70"/>
    <n v="35"/>
    <n v="0.02"/>
    <n v="175.78"/>
    <n v="44.240400000000001"/>
    <n v="0"/>
    <n v="0"/>
    <n v="133.9796"/>
  </r>
  <r>
    <s v="ORD036"/>
    <s v="SKU005"/>
    <x v="1"/>
    <x v="2"/>
    <s v="Prepaid"/>
    <x v="0"/>
    <n v="1899"/>
    <n v="645"/>
    <n v="45"/>
    <n v="0.22"/>
    <n v="70"/>
    <n v="70"/>
    <n v="70"/>
    <n v="35"/>
    <n v="0.02"/>
    <n v="417.78000000000003"/>
    <n v="87.800399999999996"/>
    <n v="0"/>
    <n v="0"/>
    <n v="563.41959999999995"/>
  </r>
  <r>
    <s v="ORD037"/>
    <s v="SKU005"/>
    <x v="1"/>
    <x v="0"/>
    <s v="Prepaid"/>
    <x v="1"/>
    <n v="1899"/>
    <n v="645"/>
    <n v="45"/>
    <n v="0.02"/>
    <n v="0"/>
    <n v="75"/>
    <n v="75"/>
    <n v="0"/>
    <n v="0"/>
    <n v="37.980000000000004"/>
    <n v="6.8364000000000003"/>
    <n v="0"/>
    <n v="75"/>
    <n v="-195"/>
  </r>
  <r>
    <s v="ORD038"/>
    <s v="SKU005"/>
    <x v="1"/>
    <x v="1"/>
    <s v="Prepaid"/>
    <x v="0"/>
    <n v="1899"/>
    <n v="645"/>
    <n v="45"/>
    <n v="0.12"/>
    <n v="40"/>
    <n v="60"/>
    <n v="60"/>
    <n v="35"/>
    <n v="0.02"/>
    <n v="227.88"/>
    <n v="48.218399999999995"/>
    <n v="0"/>
    <n v="0"/>
    <n v="832.90159999999992"/>
  </r>
  <r>
    <s v="ORD039"/>
    <s v="SKU005"/>
    <x v="1"/>
    <x v="1"/>
    <s v="Prepaid"/>
    <x v="0"/>
    <n v="1899"/>
    <n v="645"/>
    <n v="45"/>
    <n v="0.12"/>
    <n v="40"/>
    <n v="60"/>
    <n v="60"/>
    <n v="35"/>
    <n v="0.02"/>
    <n v="227.88"/>
    <n v="48.218399999999995"/>
    <n v="0"/>
    <n v="0"/>
    <n v="832.90159999999992"/>
  </r>
  <r>
    <s v="ORD040"/>
    <s v="SKU004"/>
    <x v="4"/>
    <x v="0"/>
    <s v="Prepaid"/>
    <x v="1"/>
    <n v="1299"/>
    <n v="455"/>
    <n v="40"/>
    <n v="0.02"/>
    <n v="0"/>
    <n v="75"/>
    <n v="75"/>
    <n v="0"/>
    <n v="0"/>
    <n v="25.98"/>
    <n v="4.6764000000000001"/>
    <n v="0"/>
    <n v="75"/>
    <n v="-190"/>
  </r>
  <r>
    <s v="ORD041"/>
    <s v="SKU005"/>
    <x v="1"/>
    <x v="2"/>
    <s v="Prepaid"/>
    <x v="0"/>
    <n v="1899"/>
    <n v="645"/>
    <n v="45"/>
    <n v="0.22"/>
    <n v="70"/>
    <n v="70"/>
    <n v="70"/>
    <n v="35"/>
    <n v="0.02"/>
    <n v="417.78000000000003"/>
    <n v="87.800399999999996"/>
    <n v="0"/>
    <n v="0"/>
    <n v="563.41959999999995"/>
  </r>
  <r>
    <s v="ORD042"/>
    <s v="SKU001"/>
    <x v="0"/>
    <x v="2"/>
    <s v="Prepaid"/>
    <x v="1"/>
    <n v="599"/>
    <n v="210"/>
    <n v="20"/>
    <n v="0.22"/>
    <n v="70"/>
    <n v="70"/>
    <n v="70"/>
    <n v="35"/>
    <n v="0.02"/>
    <n v="131.78"/>
    <n v="36.320399999999999"/>
    <n v="0"/>
    <n v="70"/>
    <n v="-160"/>
  </r>
  <r>
    <s v="ORD043"/>
    <s v="SKU005"/>
    <x v="1"/>
    <x v="0"/>
    <s v="Prepaid"/>
    <x v="0"/>
    <n v="1899"/>
    <n v="645"/>
    <n v="45"/>
    <n v="0.02"/>
    <n v="0"/>
    <n v="75"/>
    <n v="75"/>
    <n v="0"/>
    <n v="0"/>
    <n v="37.980000000000004"/>
    <n v="6.8364000000000003"/>
    <n v="0"/>
    <n v="0"/>
    <n v="1089.1836000000001"/>
  </r>
  <r>
    <s v="ORD044"/>
    <s v="SKU005"/>
    <x v="1"/>
    <x v="2"/>
    <s v="COD"/>
    <x v="1"/>
    <n v="1899"/>
    <n v="645"/>
    <n v="45"/>
    <n v="0.22"/>
    <n v="70"/>
    <n v="70"/>
    <n v="70"/>
    <n v="35"/>
    <n v="0.02"/>
    <n v="417.78000000000003"/>
    <n v="87.800399999999996"/>
    <n v="72.98"/>
    <n v="70"/>
    <n v="-257.98"/>
  </r>
  <r>
    <s v="ORD045"/>
    <s v="SKU005"/>
    <x v="1"/>
    <x v="0"/>
    <s v="Prepaid"/>
    <x v="1"/>
    <n v="1899"/>
    <n v="645"/>
    <n v="45"/>
    <n v="0.02"/>
    <n v="0"/>
    <n v="75"/>
    <n v="75"/>
    <n v="0"/>
    <n v="0"/>
    <n v="37.980000000000004"/>
    <n v="6.8364000000000003"/>
    <n v="0"/>
    <n v="75"/>
    <n v="-195"/>
  </r>
  <r>
    <s v="ORD046"/>
    <s v="SKU005"/>
    <x v="1"/>
    <x v="0"/>
    <s v="Prepaid"/>
    <x v="1"/>
    <n v="1899"/>
    <n v="645"/>
    <n v="45"/>
    <n v="0.02"/>
    <n v="0"/>
    <n v="75"/>
    <n v="75"/>
    <n v="0"/>
    <n v="0"/>
    <n v="37.980000000000004"/>
    <n v="6.8364000000000003"/>
    <n v="0"/>
    <n v="75"/>
    <n v="-195"/>
  </r>
  <r>
    <s v="ORD047"/>
    <s v="SKU005"/>
    <x v="1"/>
    <x v="2"/>
    <s v="COD"/>
    <x v="1"/>
    <n v="1899"/>
    <n v="645"/>
    <n v="45"/>
    <n v="0.22"/>
    <n v="70"/>
    <n v="70"/>
    <n v="70"/>
    <n v="35"/>
    <n v="0.02"/>
    <n v="417.78000000000003"/>
    <n v="87.800399999999996"/>
    <n v="72.98"/>
    <n v="70"/>
    <n v="-257.98"/>
  </r>
  <r>
    <s v="ORD048"/>
    <s v="SKU005"/>
    <x v="1"/>
    <x v="0"/>
    <s v="Prepaid"/>
    <x v="1"/>
    <n v="1899"/>
    <n v="645"/>
    <n v="45"/>
    <n v="0.02"/>
    <n v="0"/>
    <n v="75"/>
    <n v="75"/>
    <n v="0"/>
    <n v="0"/>
    <n v="37.980000000000004"/>
    <n v="6.8364000000000003"/>
    <n v="0"/>
    <n v="75"/>
    <n v="-195"/>
  </r>
  <r>
    <s v="ORD049"/>
    <s v="SKU003"/>
    <x v="2"/>
    <x v="1"/>
    <s v="Prepaid"/>
    <x v="0"/>
    <n v="999"/>
    <n v="350"/>
    <n v="30"/>
    <n v="0.12"/>
    <n v="40"/>
    <n v="60"/>
    <n v="60"/>
    <n v="35"/>
    <n v="0.02"/>
    <n v="119.88"/>
    <n v="28.778399999999998"/>
    <n v="0"/>
    <n v="0"/>
    <n v="370.34159999999997"/>
  </r>
  <r>
    <s v="ORD050"/>
    <s v="SKU004"/>
    <x v="4"/>
    <x v="1"/>
    <s v="COD"/>
    <x v="0"/>
    <n v="1299"/>
    <n v="455"/>
    <n v="40"/>
    <n v="0.12"/>
    <n v="40"/>
    <n v="60"/>
    <n v="60"/>
    <n v="35"/>
    <n v="0.02"/>
    <n v="155.88"/>
    <n v="35.258399999999995"/>
    <n v="60.980000000000004"/>
    <n v="0"/>
    <n v="451.88159999999993"/>
  </r>
  <r>
    <s v="ORD051"/>
    <s v="SKU002"/>
    <x v="3"/>
    <x v="2"/>
    <s v="COD"/>
    <x v="1"/>
    <n v="799"/>
    <n v="280"/>
    <n v="25"/>
    <n v="0.22"/>
    <n v="70"/>
    <n v="70"/>
    <n v="70"/>
    <n v="35"/>
    <n v="0.02"/>
    <n v="175.78"/>
    <n v="44.240400000000001"/>
    <n v="50.980000000000004"/>
    <n v="70"/>
    <n v="-215.98000000000002"/>
  </r>
  <r>
    <s v="ORD052"/>
    <s v="SKU002"/>
    <x v="3"/>
    <x v="2"/>
    <s v="COD"/>
    <x v="0"/>
    <n v="799"/>
    <n v="280"/>
    <n v="25"/>
    <n v="0.22"/>
    <n v="70"/>
    <n v="70"/>
    <n v="70"/>
    <n v="35"/>
    <n v="0.02"/>
    <n v="175.78"/>
    <n v="44.240400000000001"/>
    <n v="50.980000000000004"/>
    <n v="0"/>
    <n v="82.999599999999987"/>
  </r>
  <r>
    <s v="ORD053"/>
    <s v="SKU002"/>
    <x v="3"/>
    <x v="1"/>
    <s v="Prepaid"/>
    <x v="0"/>
    <n v="799"/>
    <n v="280"/>
    <n v="25"/>
    <n v="0.12"/>
    <n v="40"/>
    <n v="60"/>
    <n v="60"/>
    <n v="35"/>
    <n v="0.02"/>
    <n v="95.88"/>
    <n v="24.458399999999997"/>
    <n v="0"/>
    <n v="0"/>
    <n v="273.66160000000002"/>
  </r>
  <r>
    <s v="ORD054"/>
    <s v="SKU004"/>
    <x v="4"/>
    <x v="1"/>
    <s v="COD"/>
    <x v="0"/>
    <n v="1299"/>
    <n v="455"/>
    <n v="40"/>
    <n v="0.12"/>
    <n v="40"/>
    <n v="60"/>
    <n v="60"/>
    <n v="35"/>
    <n v="0.02"/>
    <n v="155.88"/>
    <n v="35.258399999999995"/>
    <n v="60.980000000000004"/>
    <n v="0"/>
    <n v="451.88159999999993"/>
  </r>
  <r>
    <s v="ORD055"/>
    <s v="SKU002"/>
    <x v="3"/>
    <x v="1"/>
    <s v="COD"/>
    <x v="0"/>
    <n v="799"/>
    <n v="280"/>
    <n v="25"/>
    <n v="0.12"/>
    <n v="40"/>
    <n v="60"/>
    <n v="60"/>
    <n v="35"/>
    <n v="0.02"/>
    <n v="95.88"/>
    <n v="24.458399999999997"/>
    <n v="50.980000000000004"/>
    <n v="0"/>
    <n v="222.6816"/>
  </r>
  <r>
    <s v="ORD056"/>
    <s v="SKU003"/>
    <x v="2"/>
    <x v="1"/>
    <s v="COD"/>
    <x v="0"/>
    <n v="999"/>
    <n v="350"/>
    <n v="30"/>
    <n v="0.12"/>
    <n v="40"/>
    <n v="60"/>
    <n v="60"/>
    <n v="35"/>
    <n v="0.02"/>
    <n v="119.88"/>
    <n v="28.778399999999998"/>
    <n v="54.980000000000004"/>
    <n v="0"/>
    <n v="315.36159999999995"/>
  </r>
  <r>
    <s v="ORD057"/>
    <s v="SKU004"/>
    <x v="4"/>
    <x v="1"/>
    <s v="Prepaid"/>
    <x v="0"/>
    <n v="1299"/>
    <n v="455"/>
    <n v="40"/>
    <n v="0.12"/>
    <n v="40"/>
    <n v="60"/>
    <n v="60"/>
    <n v="35"/>
    <n v="0.02"/>
    <n v="155.88"/>
    <n v="35.258399999999995"/>
    <n v="0"/>
    <n v="0"/>
    <n v="512.86159999999995"/>
  </r>
  <r>
    <s v="ORD058"/>
    <s v="SKU005"/>
    <x v="1"/>
    <x v="1"/>
    <s v="Prepaid"/>
    <x v="1"/>
    <n v="1899"/>
    <n v="645"/>
    <n v="45"/>
    <n v="0.12"/>
    <n v="40"/>
    <n v="60"/>
    <n v="60"/>
    <n v="35"/>
    <n v="0.02"/>
    <n v="227.88"/>
    <n v="48.218399999999995"/>
    <n v="0"/>
    <n v="60"/>
    <n v="-165"/>
  </r>
  <r>
    <s v="ORD059"/>
    <s v="SKU002"/>
    <x v="3"/>
    <x v="0"/>
    <s v="Prepaid"/>
    <x v="0"/>
    <n v="799"/>
    <n v="280"/>
    <n v="25"/>
    <n v="0.02"/>
    <n v="0"/>
    <n v="75"/>
    <n v="75"/>
    <n v="0"/>
    <n v="0"/>
    <n v="15.98"/>
    <n v="2.8763999999999998"/>
    <n v="0"/>
    <n v="0"/>
    <n v="400.14359999999999"/>
  </r>
  <r>
    <s v="ORD060"/>
    <s v="SKU003"/>
    <x v="2"/>
    <x v="2"/>
    <s v="Prepaid"/>
    <x v="0"/>
    <n v="999"/>
    <n v="350"/>
    <n v="30"/>
    <n v="0.22"/>
    <n v="70"/>
    <n v="70"/>
    <n v="70"/>
    <n v="35"/>
    <n v="0.02"/>
    <n v="219.78"/>
    <n v="52.160399999999996"/>
    <n v="0"/>
    <n v="0"/>
    <n v="207.05960000000005"/>
  </r>
  <r>
    <s v="ORD061"/>
    <s v="SKU002"/>
    <x v="3"/>
    <x v="1"/>
    <s v="COD"/>
    <x v="1"/>
    <n v="799"/>
    <n v="280"/>
    <n v="25"/>
    <n v="0.12"/>
    <n v="40"/>
    <n v="60"/>
    <n v="60"/>
    <n v="35"/>
    <n v="0.02"/>
    <n v="95.88"/>
    <n v="24.458399999999997"/>
    <n v="50.980000000000004"/>
    <n v="60"/>
    <n v="-195.98000000000002"/>
  </r>
  <r>
    <s v="ORD062"/>
    <s v="SKU005"/>
    <x v="1"/>
    <x v="2"/>
    <s v="COD"/>
    <x v="1"/>
    <n v="1899"/>
    <n v="645"/>
    <n v="45"/>
    <n v="0.22"/>
    <n v="70"/>
    <n v="70"/>
    <n v="70"/>
    <n v="35"/>
    <n v="0.02"/>
    <n v="417.78000000000003"/>
    <n v="87.800399999999996"/>
    <n v="72.98"/>
    <n v="70"/>
    <n v="-257.98"/>
  </r>
  <r>
    <s v="ORD063"/>
    <s v="SKU003"/>
    <x v="2"/>
    <x v="0"/>
    <s v="Prepaid"/>
    <x v="1"/>
    <n v="999"/>
    <n v="350"/>
    <n v="30"/>
    <n v="0.02"/>
    <n v="0"/>
    <n v="75"/>
    <n v="75"/>
    <n v="0"/>
    <n v="0"/>
    <n v="19.98"/>
    <n v="3.5964"/>
    <n v="0"/>
    <n v="75"/>
    <n v="-180"/>
  </r>
  <r>
    <s v="ORD064"/>
    <s v="SKU001"/>
    <x v="0"/>
    <x v="2"/>
    <s v="COD"/>
    <x v="0"/>
    <n v="599"/>
    <n v="210"/>
    <n v="20"/>
    <n v="0.22"/>
    <n v="70"/>
    <n v="70"/>
    <n v="70"/>
    <n v="35"/>
    <n v="0.02"/>
    <n v="131.78"/>
    <n v="36.320399999999999"/>
    <n v="46.980000000000004"/>
    <n v="0"/>
    <n v="13.919600000000003"/>
  </r>
  <r>
    <s v="ORD065"/>
    <s v="SKU005"/>
    <x v="1"/>
    <x v="2"/>
    <s v="Prepaid"/>
    <x v="1"/>
    <n v="1899"/>
    <n v="645"/>
    <n v="45"/>
    <n v="0.22"/>
    <n v="70"/>
    <n v="70"/>
    <n v="70"/>
    <n v="35"/>
    <n v="0.02"/>
    <n v="417.78000000000003"/>
    <n v="87.800399999999996"/>
    <n v="0"/>
    <n v="70"/>
    <n v="-185"/>
  </r>
  <r>
    <s v="ORD066"/>
    <s v="SKU002"/>
    <x v="3"/>
    <x v="1"/>
    <s v="COD"/>
    <x v="1"/>
    <n v="799"/>
    <n v="280"/>
    <n v="25"/>
    <n v="0.12"/>
    <n v="40"/>
    <n v="60"/>
    <n v="60"/>
    <n v="35"/>
    <n v="0.02"/>
    <n v="95.88"/>
    <n v="24.458399999999997"/>
    <n v="50.980000000000004"/>
    <n v="60"/>
    <n v="-195.98000000000002"/>
  </r>
  <r>
    <s v="ORD067"/>
    <s v="SKU004"/>
    <x v="4"/>
    <x v="1"/>
    <s v="Prepaid"/>
    <x v="0"/>
    <n v="1299"/>
    <n v="455"/>
    <n v="40"/>
    <n v="0.12"/>
    <n v="40"/>
    <n v="60"/>
    <n v="60"/>
    <n v="35"/>
    <n v="0.02"/>
    <n v="155.88"/>
    <n v="35.258399999999995"/>
    <n v="0"/>
    <n v="0"/>
    <n v="512.86159999999995"/>
  </r>
  <r>
    <s v="ORD068"/>
    <s v="SKU003"/>
    <x v="2"/>
    <x v="2"/>
    <s v="COD"/>
    <x v="0"/>
    <n v="999"/>
    <n v="350"/>
    <n v="30"/>
    <n v="0.22"/>
    <n v="70"/>
    <n v="70"/>
    <n v="70"/>
    <n v="35"/>
    <n v="0.02"/>
    <n v="219.78"/>
    <n v="52.160399999999996"/>
    <n v="54.980000000000004"/>
    <n v="0"/>
    <n v="152.07960000000003"/>
  </r>
  <r>
    <s v="ORD069"/>
    <s v="SKU003"/>
    <x v="2"/>
    <x v="2"/>
    <s v="COD"/>
    <x v="0"/>
    <n v="999"/>
    <n v="350"/>
    <n v="30"/>
    <n v="0.22"/>
    <n v="70"/>
    <n v="70"/>
    <n v="70"/>
    <n v="35"/>
    <n v="0.02"/>
    <n v="219.78"/>
    <n v="52.160399999999996"/>
    <n v="54.980000000000004"/>
    <n v="0"/>
    <n v="152.07960000000003"/>
  </r>
  <r>
    <s v="ORD070"/>
    <s v="SKU004"/>
    <x v="4"/>
    <x v="0"/>
    <s v="Prepaid"/>
    <x v="0"/>
    <n v="1299"/>
    <n v="455"/>
    <n v="40"/>
    <n v="0.02"/>
    <n v="0"/>
    <n v="75"/>
    <n v="75"/>
    <n v="0"/>
    <n v="0"/>
    <n v="25.98"/>
    <n v="4.6764000000000001"/>
    <n v="0"/>
    <n v="0"/>
    <n v="698.34359999999992"/>
  </r>
  <r>
    <s v="ORD071"/>
    <s v="SKU003"/>
    <x v="2"/>
    <x v="1"/>
    <s v="Prepaid"/>
    <x v="0"/>
    <n v="999"/>
    <n v="350"/>
    <n v="30"/>
    <n v="0.12"/>
    <n v="40"/>
    <n v="60"/>
    <n v="60"/>
    <n v="35"/>
    <n v="0.02"/>
    <n v="119.88"/>
    <n v="28.778399999999998"/>
    <n v="0"/>
    <n v="0"/>
    <n v="370.34159999999997"/>
  </r>
  <r>
    <s v="ORD072"/>
    <s v="SKU003"/>
    <x v="2"/>
    <x v="0"/>
    <s v="Prepaid"/>
    <x v="0"/>
    <n v="999"/>
    <n v="350"/>
    <n v="30"/>
    <n v="0.02"/>
    <n v="0"/>
    <n v="75"/>
    <n v="75"/>
    <n v="0"/>
    <n v="0"/>
    <n v="19.98"/>
    <n v="3.5964"/>
    <n v="0"/>
    <n v="0"/>
    <n v="520.42359999999996"/>
  </r>
  <r>
    <s v="ORD073"/>
    <s v="SKU002"/>
    <x v="3"/>
    <x v="2"/>
    <s v="Prepaid"/>
    <x v="0"/>
    <n v="799"/>
    <n v="280"/>
    <n v="25"/>
    <n v="0.22"/>
    <n v="70"/>
    <n v="70"/>
    <n v="70"/>
    <n v="35"/>
    <n v="0.02"/>
    <n v="175.78"/>
    <n v="44.240400000000001"/>
    <n v="0"/>
    <n v="0"/>
    <n v="133.9796"/>
  </r>
  <r>
    <s v="ORD074"/>
    <s v="SKU003"/>
    <x v="2"/>
    <x v="1"/>
    <s v="Prepaid"/>
    <x v="0"/>
    <n v="999"/>
    <n v="350"/>
    <n v="30"/>
    <n v="0.12"/>
    <n v="40"/>
    <n v="60"/>
    <n v="60"/>
    <n v="35"/>
    <n v="0.02"/>
    <n v="119.88"/>
    <n v="28.778399999999998"/>
    <n v="0"/>
    <n v="0"/>
    <n v="370.34159999999997"/>
  </r>
  <r>
    <s v="ORD075"/>
    <s v="SKU002"/>
    <x v="3"/>
    <x v="0"/>
    <s v="Prepaid"/>
    <x v="1"/>
    <n v="799"/>
    <n v="280"/>
    <n v="25"/>
    <n v="0.02"/>
    <n v="0"/>
    <n v="75"/>
    <n v="75"/>
    <n v="0"/>
    <n v="0"/>
    <n v="15.98"/>
    <n v="2.8763999999999998"/>
    <n v="0"/>
    <n v="75"/>
    <n v="-175"/>
  </r>
  <r>
    <s v="ORD076"/>
    <s v="SKU003"/>
    <x v="2"/>
    <x v="0"/>
    <s v="Prepaid"/>
    <x v="0"/>
    <n v="999"/>
    <n v="350"/>
    <n v="30"/>
    <n v="0.02"/>
    <n v="0"/>
    <n v="75"/>
    <n v="75"/>
    <n v="0"/>
    <n v="0"/>
    <n v="19.98"/>
    <n v="3.5964"/>
    <n v="0"/>
    <n v="0"/>
    <n v="520.42359999999996"/>
  </r>
  <r>
    <s v="ORD077"/>
    <s v="SKU002"/>
    <x v="3"/>
    <x v="2"/>
    <s v="COD"/>
    <x v="1"/>
    <n v="799"/>
    <n v="280"/>
    <n v="25"/>
    <n v="0.22"/>
    <n v="70"/>
    <n v="70"/>
    <n v="70"/>
    <n v="35"/>
    <n v="0.02"/>
    <n v="175.78"/>
    <n v="44.240400000000001"/>
    <n v="50.980000000000004"/>
    <n v="70"/>
    <n v="-215.98000000000002"/>
  </r>
  <r>
    <s v="ORD078"/>
    <s v="SKU004"/>
    <x v="4"/>
    <x v="0"/>
    <s v="Prepaid"/>
    <x v="0"/>
    <n v="1299"/>
    <n v="455"/>
    <n v="40"/>
    <n v="0.02"/>
    <n v="0"/>
    <n v="75"/>
    <n v="75"/>
    <n v="0"/>
    <n v="0"/>
    <n v="25.98"/>
    <n v="4.6764000000000001"/>
    <n v="0"/>
    <n v="0"/>
    <n v="698.34359999999992"/>
  </r>
  <r>
    <s v="ORD079"/>
    <s v="SKU002"/>
    <x v="3"/>
    <x v="2"/>
    <s v="COD"/>
    <x v="0"/>
    <n v="799"/>
    <n v="280"/>
    <n v="25"/>
    <n v="0.22"/>
    <n v="70"/>
    <n v="70"/>
    <n v="70"/>
    <n v="35"/>
    <n v="0.02"/>
    <n v="175.78"/>
    <n v="44.240400000000001"/>
    <n v="50.980000000000004"/>
    <n v="0"/>
    <n v="82.999599999999987"/>
  </r>
  <r>
    <s v="ORD080"/>
    <s v="SKU001"/>
    <x v="0"/>
    <x v="2"/>
    <s v="Prepaid"/>
    <x v="1"/>
    <n v="599"/>
    <n v="210"/>
    <n v="20"/>
    <n v="0.22"/>
    <n v="70"/>
    <n v="70"/>
    <n v="70"/>
    <n v="35"/>
    <n v="0.02"/>
    <n v="131.78"/>
    <n v="36.320399999999999"/>
    <n v="0"/>
    <n v="70"/>
    <n v="-160"/>
  </r>
  <r>
    <s v="ORD081"/>
    <s v="SKU004"/>
    <x v="4"/>
    <x v="1"/>
    <s v="COD"/>
    <x v="0"/>
    <n v="1299"/>
    <n v="455"/>
    <n v="40"/>
    <n v="0.12"/>
    <n v="40"/>
    <n v="60"/>
    <n v="60"/>
    <n v="35"/>
    <n v="0.02"/>
    <n v="155.88"/>
    <n v="35.258399999999995"/>
    <n v="60.980000000000004"/>
    <n v="0"/>
    <n v="451.88159999999993"/>
  </r>
  <r>
    <s v="ORD082"/>
    <s v="SKU005"/>
    <x v="1"/>
    <x v="2"/>
    <s v="Prepaid"/>
    <x v="0"/>
    <n v="1899"/>
    <n v="645"/>
    <n v="45"/>
    <n v="0.22"/>
    <n v="70"/>
    <n v="70"/>
    <n v="70"/>
    <n v="35"/>
    <n v="0.02"/>
    <n v="417.78000000000003"/>
    <n v="87.800399999999996"/>
    <n v="0"/>
    <n v="0"/>
    <n v="563.41959999999995"/>
  </r>
  <r>
    <s v="ORD083"/>
    <s v="SKU003"/>
    <x v="2"/>
    <x v="2"/>
    <s v="COD"/>
    <x v="1"/>
    <n v="999"/>
    <n v="350"/>
    <n v="30"/>
    <n v="0.22"/>
    <n v="70"/>
    <n v="70"/>
    <n v="70"/>
    <n v="35"/>
    <n v="0.02"/>
    <n v="219.78"/>
    <n v="52.160399999999996"/>
    <n v="54.980000000000004"/>
    <n v="70"/>
    <n v="-224.98000000000002"/>
  </r>
  <r>
    <s v="ORD084"/>
    <s v="SKU005"/>
    <x v="1"/>
    <x v="0"/>
    <s v="Prepaid"/>
    <x v="0"/>
    <n v="1899"/>
    <n v="645"/>
    <n v="45"/>
    <n v="0.02"/>
    <n v="0"/>
    <n v="75"/>
    <n v="75"/>
    <n v="0"/>
    <n v="0"/>
    <n v="37.980000000000004"/>
    <n v="6.8364000000000003"/>
    <n v="0"/>
    <n v="0"/>
    <n v="1089.1836000000001"/>
  </r>
  <r>
    <s v="ORD085"/>
    <s v="SKU001"/>
    <x v="0"/>
    <x v="1"/>
    <s v="COD"/>
    <x v="1"/>
    <n v="599"/>
    <n v="210"/>
    <n v="20"/>
    <n v="0.12"/>
    <n v="40"/>
    <n v="60"/>
    <n v="60"/>
    <n v="35"/>
    <n v="0.02"/>
    <n v="71.88"/>
    <n v="20.138399999999997"/>
    <n v="46.980000000000004"/>
    <n v="60"/>
    <n v="-186.98000000000002"/>
  </r>
  <r>
    <s v="ORD086"/>
    <s v="SKU003"/>
    <x v="2"/>
    <x v="1"/>
    <s v="COD"/>
    <x v="1"/>
    <n v="999"/>
    <n v="350"/>
    <n v="30"/>
    <n v="0.12"/>
    <n v="40"/>
    <n v="60"/>
    <n v="60"/>
    <n v="35"/>
    <n v="0.02"/>
    <n v="119.88"/>
    <n v="28.778399999999998"/>
    <n v="54.980000000000004"/>
    <n v="60"/>
    <n v="-204.98000000000002"/>
  </r>
  <r>
    <s v="ORD087"/>
    <s v="SKU003"/>
    <x v="2"/>
    <x v="1"/>
    <s v="Prepaid"/>
    <x v="0"/>
    <n v="999"/>
    <n v="350"/>
    <n v="30"/>
    <n v="0.12"/>
    <n v="40"/>
    <n v="60"/>
    <n v="60"/>
    <n v="35"/>
    <n v="0.02"/>
    <n v="119.88"/>
    <n v="28.778399999999998"/>
    <n v="0"/>
    <n v="0"/>
    <n v="370.34159999999997"/>
  </r>
  <r>
    <s v="ORD088"/>
    <s v="SKU005"/>
    <x v="1"/>
    <x v="0"/>
    <s v="Prepaid"/>
    <x v="0"/>
    <n v="1899"/>
    <n v="645"/>
    <n v="45"/>
    <n v="0.02"/>
    <n v="0"/>
    <n v="75"/>
    <n v="75"/>
    <n v="0"/>
    <n v="0"/>
    <n v="37.980000000000004"/>
    <n v="6.8364000000000003"/>
    <n v="0"/>
    <n v="0"/>
    <n v="1089.1836000000001"/>
  </r>
  <r>
    <s v="ORD089"/>
    <s v="SKU004"/>
    <x v="4"/>
    <x v="2"/>
    <s v="Prepaid"/>
    <x v="0"/>
    <n v="1299"/>
    <n v="455"/>
    <n v="40"/>
    <n v="0.22"/>
    <n v="70"/>
    <n v="70"/>
    <n v="70"/>
    <n v="35"/>
    <n v="0.02"/>
    <n v="285.78000000000003"/>
    <n v="64.040400000000005"/>
    <n v="0"/>
    <n v="0"/>
    <n v="314.17960000000005"/>
  </r>
  <r>
    <s v="ORD090"/>
    <s v="SKU005"/>
    <x v="1"/>
    <x v="1"/>
    <s v="COD"/>
    <x v="0"/>
    <n v="1899"/>
    <n v="645"/>
    <n v="45"/>
    <n v="0.12"/>
    <n v="40"/>
    <n v="60"/>
    <n v="60"/>
    <n v="35"/>
    <n v="0.02"/>
    <n v="227.88"/>
    <n v="48.218399999999995"/>
    <n v="72.98"/>
    <n v="0"/>
    <n v="759.9215999999999"/>
  </r>
  <r>
    <s v="ORD091"/>
    <s v="SKU002"/>
    <x v="3"/>
    <x v="1"/>
    <s v="COD"/>
    <x v="0"/>
    <n v="799"/>
    <n v="280"/>
    <n v="25"/>
    <n v="0.12"/>
    <n v="40"/>
    <n v="60"/>
    <n v="60"/>
    <n v="35"/>
    <n v="0.02"/>
    <n v="95.88"/>
    <n v="24.458399999999997"/>
    <n v="50.980000000000004"/>
    <n v="0"/>
    <n v="222.6816"/>
  </r>
  <r>
    <s v="ORD092"/>
    <s v="SKU004"/>
    <x v="4"/>
    <x v="1"/>
    <s v="COD"/>
    <x v="0"/>
    <n v="1299"/>
    <n v="455"/>
    <n v="40"/>
    <n v="0.12"/>
    <n v="40"/>
    <n v="60"/>
    <n v="60"/>
    <n v="35"/>
    <n v="0.02"/>
    <n v="155.88"/>
    <n v="35.258399999999995"/>
    <n v="60.980000000000004"/>
    <n v="0"/>
    <n v="451.88159999999993"/>
  </r>
  <r>
    <s v="ORD093"/>
    <s v="SKU005"/>
    <x v="1"/>
    <x v="2"/>
    <s v="Prepaid"/>
    <x v="0"/>
    <n v="1899"/>
    <n v="645"/>
    <n v="45"/>
    <n v="0.22"/>
    <n v="70"/>
    <n v="70"/>
    <n v="70"/>
    <n v="35"/>
    <n v="0.02"/>
    <n v="417.78000000000003"/>
    <n v="87.800399999999996"/>
    <n v="0"/>
    <n v="0"/>
    <n v="563.41959999999995"/>
  </r>
  <r>
    <s v="ORD094"/>
    <s v="SKU005"/>
    <x v="1"/>
    <x v="2"/>
    <s v="COD"/>
    <x v="0"/>
    <n v="1899"/>
    <n v="645"/>
    <n v="45"/>
    <n v="0.22"/>
    <n v="70"/>
    <n v="70"/>
    <n v="70"/>
    <n v="35"/>
    <n v="0.02"/>
    <n v="417.78000000000003"/>
    <n v="87.800399999999996"/>
    <n v="72.98"/>
    <n v="0"/>
    <n v="490.43959999999993"/>
  </r>
  <r>
    <s v="ORD095"/>
    <s v="SKU002"/>
    <x v="3"/>
    <x v="0"/>
    <s v="Prepaid"/>
    <x v="1"/>
    <n v="799"/>
    <n v="280"/>
    <n v="25"/>
    <n v="0.02"/>
    <n v="0"/>
    <n v="75"/>
    <n v="75"/>
    <n v="0"/>
    <n v="0"/>
    <n v="15.98"/>
    <n v="2.8763999999999998"/>
    <n v="0"/>
    <n v="75"/>
    <n v="-175"/>
  </r>
  <r>
    <s v="ORD096"/>
    <s v="SKU003"/>
    <x v="2"/>
    <x v="2"/>
    <s v="COD"/>
    <x v="0"/>
    <n v="999"/>
    <n v="350"/>
    <n v="30"/>
    <n v="0.22"/>
    <n v="70"/>
    <n v="70"/>
    <n v="70"/>
    <n v="35"/>
    <n v="0.02"/>
    <n v="219.78"/>
    <n v="52.160399999999996"/>
    <n v="54.980000000000004"/>
    <n v="0"/>
    <n v="152.07960000000003"/>
  </r>
  <r>
    <s v="ORD097"/>
    <s v="SKU003"/>
    <x v="2"/>
    <x v="0"/>
    <s v="Prepaid"/>
    <x v="0"/>
    <n v="999"/>
    <n v="350"/>
    <n v="30"/>
    <n v="0.02"/>
    <n v="0"/>
    <n v="75"/>
    <n v="75"/>
    <n v="0"/>
    <n v="0"/>
    <n v="19.98"/>
    <n v="3.5964"/>
    <n v="0"/>
    <n v="0"/>
    <n v="520.42359999999996"/>
  </r>
  <r>
    <s v="ORD098"/>
    <s v="SKU005"/>
    <x v="1"/>
    <x v="0"/>
    <s v="Prepaid"/>
    <x v="1"/>
    <n v="1899"/>
    <n v="645"/>
    <n v="45"/>
    <n v="0.02"/>
    <n v="0"/>
    <n v="75"/>
    <n v="75"/>
    <n v="0"/>
    <n v="0"/>
    <n v="37.980000000000004"/>
    <n v="6.8364000000000003"/>
    <n v="0"/>
    <n v="75"/>
    <n v="-195"/>
  </r>
  <r>
    <s v="ORD099"/>
    <s v="SKU005"/>
    <x v="1"/>
    <x v="0"/>
    <s v="Prepaid"/>
    <x v="0"/>
    <n v="1899"/>
    <n v="645"/>
    <n v="45"/>
    <n v="0.02"/>
    <n v="0"/>
    <n v="75"/>
    <n v="75"/>
    <n v="0"/>
    <n v="0"/>
    <n v="37.980000000000004"/>
    <n v="6.8364000000000003"/>
    <n v="0"/>
    <n v="0"/>
    <n v="1089.1836000000001"/>
  </r>
  <r>
    <s v="ORD100"/>
    <s v="SKU004"/>
    <x v="4"/>
    <x v="0"/>
    <s v="Prepaid"/>
    <x v="1"/>
    <n v="1299"/>
    <n v="455"/>
    <n v="40"/>
    <n v="0.02"/>
    <n v="0"/>
    <n v="75"/>
    <n v="75"/>
    <n v="0"/>
    <n v="0"/>
    <n v="25.98"/>
    <n v="4.6764000000000001"/>
    <n v="0"/>
    <n v="75"/>
    <n v="-1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C4807-DECE-44D6-8486-182D3F3F1E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18" firstHeaderRow="1" firstDataRow="1" firstDataCol="1"/>
  <pivotFields count="20">
    <pivotField showAll="0"/>
    <pivotField showAll="0"/>
    <pivotField showAll="0">
      <items count="7">
        <item x="0"/>
        <item x="4"/>
        <item x="2"/>
        <item x="1"/>
        <item m="1" x="5"/>
        <item x="3"/>
        <item t="default"/>
      </items>
    </pivotField>
    <pivotField axis="axisRow" showAll="0">
      <items count="4">
        <item x="1"/>
        <item x="2"/>
        <item x="0"/>
        <item t="default"/>
      </items>
    </pivotField>
    <pivotField showAll="0"/>
    <pivotField showAll="0">
      <items count="3">
        <item x="0"/>
        <item x="1"/>
        <item t="default"/>
      </items>
    </pivotField>
    <pivotField numFmtId="164" showAll="0"/>
    <pivotField numFmtId="164" showAll="0"/>
    <pivotField numFmtId="164" showAll="0"/>
    <pivotField numFmtId="9" showAll="0"/>
    <pivotField numFmtId="164" showAll="0"/>
    <pivotField numFmtId="164" showAll="0"/>
    <pivotField numFmtId="164" showAll="0"/>
    <pivotField numFmtId="164" showAll="0"/>
    <pivotField numFmtId="9" showAll="0"/>
    <pivotField numFmtId="164" showAll="0"/>
    <pivotField numFmtId="164" showAll="0"/>
    <pivotField numFmtId="164" showAll="0"/>
    <pivotField numFmtId="164" showAll="0"/>
    <pivotField dataField="1" numFmtId="164" showAll="0"/>
  </pivotFields>
  <rowFields count="1">
    <field x="3"/>
  </rowFields>
  <rowItems count="4">
    <i>
      <x/>
    </i>
    <i>
      <x v="1"/>
    </i>
    <i>
      <x v="2"/>
    </i>
    <i t="grand">
      <x/>
    </i>
  </rowItems>
  <colItems count="1">
    <i/>
  </colItems>
  <dataFields count="1">
    <dataField name="Average CM2 per order" fld="19" subtotal="average" baseField="2" baseItem="0" numFmtId="164"/>
  </dataFields>
  <formats count="1">
    <format dxfId="8">
      <pivotArea collapsedLevelsAreSubtotals="1" fieldPosition="0">
        <references count="1">
          <reference field="3" count="0"/>
        </references>
      </pivotArea>
    </format>
  </formats>
  <chartFormats count="4">
    <chartFormat chart="1" format="3"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3" count="1" selected="0">
            <x v="0"/>
          </reference>
        </references>
      </pivotArea>
    </chartFormat>
    <chartFormat chart="1" format="6">
      <pivotArea type="data" outline="0" fieldPosition="0">
        <references count="2">
          <reference field="4294967294" count="1" selected="0">
            <x v="0"/>
          </reference>
          <reference field="3" count="1" selected="0">
            <x v="1"/>
          </reference>
        </references>
      </pivotArea>
    </chartFormat>
    <chartFormat chart="1" format="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A2911C-B540-4E75-A646-E01A22CF15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8" firstHeaderRow="1" firstDataRow="1" firstDataCol="1"/>
  <pivotFields count="20">
    <pivotField showAll="0"/>
    <pivotField showAll="0"/>
    <pivotField axis="axisRow" showAll="0" sortType="ascending">
      <items count="7">
        <item x="0"/>
        <item x="4"/>
        <item x="2"/>
        <item m="1" x="5"/>
        <item x="3"/>
        <item x="1"/>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items count="3">
        <item x="0"/>
        <item x="1"/>
        <item t="default"/>
      </items>
    </pivotField>
    <pivotField numFmtId="164" showAll="0"/>
    <pivotField numFmtId="164" showAll="0"/>
    <pivotField numFmtId="164" showAll="0"/>
    <pivotField numFmtId="9" showAll="0"/>
    <pivotField numFmtId="164" showAll="0"/>
    <pivotField numFmtId="164" showAll="0"/>
    <pivotField numFmtId="164" showAll="0"/>
    <pivotField numFmtId="164" showAll="0"/>
    <pivotField numFmtId="9" showAll="0"/>
    <pivotField numFmtId="164" showAll="0"/>
    <pivotField numFmtId="164" showAll="0"/>
    <pivotField numFmtId="164" showAll="0"/>
    <pivotField numFmtId="164" showAll="0"/>
    <pivotField dataField="1" numFmtId="164" showAll="0"/>
  </pivotFields>
  <rowFields count="1">
    <field x="2"/>
  </rowFields>
  <rowItems count="6">
    <i>
      <x/>
    </i>
    <i>
      <x v="4"/>
    </i>
    <i>
      <x v="2"/>
    </i>
    <i>
      <x v="1"/>
    </i>
    <i>
      <x v="5"/>
    </i>
    <i t="grand">
      <x/>
    </i>
  </rowItems>
  <colItems count="1">
    <i/>
  </colItems>
  <dataFields count="1">
    <dataField name="Sum of CM2" fld="19" baseField="0" baseItem="0" numFmtId="164"/>
  </dataFields>
  <formats count="1">
    <format dxfId="9">
      <pivotArea collapsedLevelsAreSubtotals="1" fieldPosition="0">
        <references count="1">
          <reference field="2" count="0"/>
        </references>
      </pivotArea>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D68012-A7D6-4693-A204-4C38CA554C1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3:D40" firstHeaderRow="1" firstDataRow="2" firstDataCol="1"/>
  <pivotFields count="20">
    <pivotField dataField="1" showAll="0"/>
    <pivotField showAll="0"/>
    <pivotField axis="axisRow" showAll="0">
      <items count="7">
        <item x="0"/>
        <item x="4"/>
        <item x="2"/>
        <item m="1" x="5"/>
        <item x="3"/>
        <item x="1"/>
        <item t="default"/>
      </items>
    </pivotField>
    <pivotField showAll="0">
      <items count="4">
        <item x="1"/>
        <item x="2"/>
        <item x="0"/>
        <item t="default"/>
      </items>
    </pivotField>
    <pivotField showAll="0"/>
    <pivotField axis="axisCol" showAll="0">
      <items count="3">
        <item x="0"/>
        <item x="1"/>
        <item t="default"/>
      </items>
    </pivotField>
    <pivotField numFmtId="164" showAll="0"/>
    <pivotField numFmtId="164" showAll="0"/>
    <pivotField numFmtId="164" showAll="0"/>
    <pivotField numFmtId="9" showAll="0"/>
    <pivotField numFmtId="164" showAll="0"/>
    <pivotField numFmtId="164" showAll="0"/>
    <pivotField numFmtId="164" showAll="0"/>
    <pivotField numFmtId="164" showAll="0"/>
    <pivotField numFmtId="9" showAll="0"/>
    <pivotField numFmtId="164" showAll="0"/>
    <pivotField numFmtId="164" showAll="0"/>
    <pivotField numFmtId="164" showAll="0"/>
    <pivotField numFmtId="164" showAll="0"/>
    <pivotField numFmtId="164" showAll="0"/>
  </pivotFields>
  <rowFields count="1">
    <field x="2"/>
  </rowFields>
  <rowItems count="6">
    <i>
      <x/>
    </i>
    <i>
      <x v="1"/>
    </i>
    <i>
      <x v="2"/>
    </i>
    <i>
      <x v="4"/>
    </i>
    <i>
      <x v="5"/>
    </i>
    <i t="grand">
      <x/>
    </i>
  </rowItems>
  <colFields count="1">
    <field x="5"/>
  </colFields>
  <colItems count="3">
    <i>
      <x/>
    </i>
    <i>
      <x v="1"/>
    </i>
    <i t="grand">
      <x/>
    </i>
  </colItems>
  <dataFields count="1">
    <dataField name="Count of Order ID" fld="0" subtotal="count" baseField="0" baseItem="0"/>
  </dataFields>
  <chartFormats count="3">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138A16-A9A9-4854-A644-17E6EABBF0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C27" firstHeaderRow="0" firstDataRow="1" firstDataCol="1"/>
  <pivotFields count="20">
    <pivotField dataField="1" showAll="0"/>
    <pivotField showAll="0"/>
    <pivotField showAll="0">
      <items count="7">
        <item x="0"/>
        <item x="4"/>
        <item x="2"/>
        <item x="1"/>
        <item m="1" x="5"/>
        <item x="3"/>
        <item t="default"/>
      </items>
    </pivotField>
    <pivotField showAll="0">
      <items count="4">
        <item x="1"/>
        <item x="2"/>
        <item x="0"/>
        <item t="default"/>
      </items>
    </pivotField>
    <pivotField showAll="0"/>
    <pivotField axis="axisRow" showAll="0">
      <items count="3">
        <item x="0"/>
        <item x="1"/>
        <item t="default"/>
      </items>
    </pivotField>
    <pivotField numFmtId="164" showAll="0"/>
    <pivotField numFmtId="164" showAll="0"/>
    <pivotField numFmtId="164" showAll="0"/>
    <pivotField numFmtId="9" showAll="0"/>
    <pivotField numFmtId="164" showAll="0"/>
    <pivotField numFmtId="164" showAll="0"/>
    <pivotField numFmtId="164" showAll="0"/>
    <pivotField numFmtId="164" showAll="0"/>
    <pivotField numFmtId="9" showAll="0"/>
    <pivotField numFmtId="164" showAll="0"/>
    <pivotField numFmtId="164" showAll="0"/>
    <pivotField numFmtId="164" showAll="0"/>
    <pivotField numFmtId="164" showAll="0"/>
    <pivotField dataField="1" numFmtId="164" showAll="0"/>
  </pivotFields>
  <rowFields count="1">
    <field x="5"/>
  </rowFields>
  <rowItems count="3">
    <i>
      <x/>
    </i>
    <i>
      <x v="1"/>
    </i>
    <i t="grand">
      <x/>
    </i>
  </rowItems>
  <colFields count="1">
    <field x="-2"/>
  </colFields>
  <colItems count="2">
    <i>
      <x/>
    </i>
    <i i="1">
      <x v="1"/>
    </i>
  </colItems>
  <dataFields count="2">
    <dataField name="Sum of CM2" fld="19" baseField="0" baseItem="0" numFmtId="164"/>
    <dataField name="Count of Order ID" fld="0" subtotal="count" baseField="0" baseItem="0"/>
  </dataFields>
  <chartFormats count="6">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5" count="1" selected="0">
            <x v="0"/>
          </reference>
        </references>
      </pivotArea>
    </chartFormat>
    <chartFormat chart="1" format="4">
      <pivotArea type="data" outline="0" fieldPosition="0">
        <references count="2">
          <reference field="4294967294" count="1" selected="0">
            <x v="0"/>
          </reference>
          <reference field="5" count="1" selected="0">
            <x v="1"/>
          </reference>
        </references>
      </pivotArea>
    </chartFormat>
    <chartFormat chart="1" format="5" series="1">
      <pivotArea type="data" outline="0" fieldPosition="0">
        <references count="1">
          <reference field="4294967294" count="1" selected="0">
            <x v="1"/>
          </reference>
        </references>
      </pivotArea>
    </chartFormat>
    <chartFormat chart="1" format="6">
      <pivotArea type="data" outline="0" fieldPosition="0">
        <references count="2">
          <reference field="4294967294" count="1" selected="0">
            <x v="1"/>
          </reference>
          <reference field="5" count="1" selected="0">
            <x v="0"/>
          </reference>
        </references>
      </pivotArea>
    </chartFormat>
    <chartFormat chart="1" format="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45A9DAA-5FBB-4FE7-A044-80C84802485F}" sourceName="Channel">
  <pivotTables>
    <pivotTable tabId="4" name="PivotTable2"/>
    <pivotTable tabId="4" name="PivotTable6"/>
    <pivotTable tabId="4" name="PivotTable7"/>
    <pivotTable tabId="4" name="PivotTable9"/>
  </pivotTables>
  <data>
    <tabular pivotCacheId="20788782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A81451EB-0F69-4E0F-8B85-82507364E9D8}" sourceName="Order Status">
  <pivotTables>
    <pivotTable tabId="4" name="PivotTable2"/>
    <pivotTable tabId="4" name="PivotTable6"/>
    <pivotTable tabId="4" name="PivotTable7"/>
    <pivotTable tabId="4" name="PivotTable9"/>
  </pivotTables>
  <data>
    <tabular pivotCacheId="20788782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_Name" xr10:uid="{3AC77645-8FF7-4CE2-8813-AA8D40CCE91B}" sourceName="SKU Name">
  <pivotTables>
    <pivotTable tabId="4" name="PivotTable2"/>
    <pivotTable tabId="4" name="PivotTable6"/>
    <pivotTable tabId="4" name="PivotTable7"/>
    <pivotTable tabId="4" name="PivotTable9"/>
  </pivotTables>
  <data>
    <tabular pivotCacheId="207887820">
      <items count="6">
        <i x="0" s="1"/>
        <i x="4" s="1"/>
        <i x="2" s="1"/>
        <i x="1" s="1"/>
        <i x="3"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Rate" xr10:uid="{373C6813-4C54-49DA-9E4A-E38B010FD719}" sourceName="Return Rate">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D8900EFE-EE8E-4552-9156-F9049FC1E26D}" cache="Slicer_Channel" caption="Channel" style="SlicerStyleDark5" rowHeight="234950"/>
  <slicer name="Order Status" xr10:uid="{9AC944CC-5755-4A2B-B399-41973F4D956F}" cache="Slicer_Order_Status" caption="Order Status" style="SlicerStyleDark5" rowHeight="234950"/>
  <slicer name="SKU Name" xr10:uid="{8C0EDF40-4D88-441E-8064-455D847EBE4F}" cache="Slicer_SKU_Name" caption="SKU Name"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urn Rate" xr10:uid="{6A5AE44B-7CFB-4040-8165-AD53B498F253}" cache="Slicer_Return_Rate" caption="Return Rate" columnCount="2" style="SlicerStyleDark5"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3C9BEF-D89F-493F-AAFB-EA91B38DCB72}" name="Table1" displayName="Table1" ref="E52:F54" totalsRowShown="0" headerRowBorderDxfId="7" tableBorderDxfId="6">
  <autoFilter ref="E52:F54" xr:uid="{FB3C9BEF-D89F-493F-AAFB-EA91B38DCB72}"/>
  <tableColumns count="2">
    <tableColumn id="1" xr3:uid="{71CD2052-E74D-4564-BB8C-9FD2FCE09F98}" name="Status" dataDxfId="5"/>
    <tableColumn id="2" xr3:uid="{F40BE785-E611-4389-B28F-0689CAC8E465}" name="CM2" dataDxfId="4">
      <calculatedColumnFormula>GETPIVOTDATA("Sum of CM2",$A$24,"Order Status","Returned")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2EDF41-A905-4A0D-8BE7-644A437C7CB5}" name="Table2" displayName="Table2" ref="E57:F62" totalsRowShown="0" headerRowBorderDxfId="3" tableBorderDxfId="2">
  <autoFilter ref="E57:F62" xr:uid="{772EDF41-A905-4A0D-8BE7-644A437C7CB5}"/>
  <tableColumns count="2">
    <tableColumn id="1" xr3:uid="{8F5BA3BD-261E-486B-8F06-206DC9C2F299}" name="SKU" dataDxfId="1"/>
    <tableColumn id="2" xr3:uid="{84F99084-12B4-4975-8541-7D2788159713}" name="Return Rate"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zoomScaleNormal="100" workbookViewId="0"/>
  </sheetViews>
  <sheetFormatPr defaultRowHeight="14.4" x14ac:dyDescent="0.3"/>
  <cols>
    <col min="1" max="1" width="12.109375" bestFit="1" customWidth="1"/>
    <col min="2" max="2" width="12.5546875" bestFit="1" customWidth="1"/>
    <col min="3" max="3" width="8.88671875" bestFit="1" customWidth="1"/>
    <col min="4" max="4" width="16" bestFit="1" customWidth="1"/>
    <col min="5" max="5" width="11.88671875" bestFit="1" customWidth="1"/>
    <col min="6" max="6" width="11.77734375" bestFit="1" customWidth="1"/>
    <col min="7" max="7" width="6.6640625" bestFit="1" customWidth="1"/>
  </cols>
  <sheetData>
    <row r="1" spans="1:7" ht="15" thickBot="1" x14ac:dyDescent="0.35">
      <c r="A1" s="7" t="s">
        <v>0</v>
      </c>
      <c r="B1" s="8" t="s">
        <v>1</v>
      </c>
      <c r="C1" s="8" t="s">
        <v>4</v>
      </c>
      <c r="D1" s="8" t="s">
        <v>2</v>
      </c>
      <c r="E1" s="8" t="s">
        <v>3</v>
      </c>
      <c r="F1" s="8" t="s">
        <v>9</v>
      </c>
      <c r="G1" s="9" t="s">
        <v>5</v>
      </c>
    </row>
    <row r="2" spans="1:7" x14ac:dyDescent="0.3">
      <c r="A2" s="10" t="s">
        <v>6</v>
      </c>
      <c r="B2" s="5">
        <v>0.22</v>
      </c>
      <c r="C2" s="38">
        <v>70</v>
      </c>
      <c r="D2" s="38">
        <v>70</v>
      </c>
      <c r="E2" s="38">
        <v>70</v>
      </c>
      <c r="F2" s="38">
        <v>35</v>
      </c>
      <c r="G2" s="11">
        <v>0.02</v>
      </c>
    </row>
    <row r="3" spans="1:7" x14ac:dyDescent="0.3">
      <c r="A3" s="12" t="s">
        <v>7</v>
      </c>
      <c r="B3" s="2">
        <v>0.12</v>
      </c>
      <c r="C3" s="39">
        <v>40</v>
      </c>
      <c r="D3" s="39">
        <v>60</v>
      </c>
      <c r="E3" s="39">
        <v>60</v>
      </c>
      <c r="F3" s="39">
        <v>35</v>
      </c>
      <c r="G3" s="13">
        <v>0.02</v>
      </c>
    </row>
    <row r="4" spans="1:7" ht="15" thickBot="1" x14ac:dyDescent="0.35">
      <c r="A4" s="14" t="s">
        <v>8</v>
      </c>
      <c r="B4" s="15">
        <v>0.02</v>
      </c>
      <c r="C4" s="40">
        <v>0</v>
      </c>
      <c r="D4" s="40">
        <v>75</v>
      </c>
      <c r="E4" s="40">
        <v>75</v>
      </c>
      <c r="F4" s="40">
        <v>0</v>
      </c>
      <c r="G4" s="17">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C7248-275E-4739-9A53-68723B82A5E2}">
  <dimension ref="A1:E6"/>
  <sheetViews>
    <sheetView workbookViewId="0">
      <selection activeCell="B28" sqref="B28"/>
    </sheetView>
  </sheetViews>
  <sheetFormatPr defaultRowHeight="14.4" x14ac:dyDescent="0.3"/>
  <cols>
    <col min="1" max="1" width="7.21875" bestFit="1" customWidth="1"/>
    <col min="2" max="2" width="16.6640625" bestFit="1" customWidth="1"/>
    <col min="3" max="3" width="10.5546875" bestFit="1" customWidth="1"/>
    <col min="4" max="4" width="14.109375" bestFit="1" customWidth="1"/>
  </cols>
  <sheetData>
    <row r="1" spans="1:5" ht="15" thickBot="1" x14ac:dyDescent="0.35">
      <c r="A1" s="7" t="s">
        <v>10</v>
      </c>
      <c r="B1" s="8" t="s">
        <v>11</v>
      </c>
      <c r="C1" s="8" t="s">
        <v>12</v>
      </c>
      <c r="D1" s="9" t="s">
        <v>26</v>
      </c>
      <c r="E1" s="9" t="s">
        <v>40</v>
      </c>
    </row>
    <row r="2" spans="1:5" x14ac:dyDescent="0.3">
      <c r="A2" s="10" t="s">
        <v>13</v>
      </c>
      <c r="B2" s="4" t="s">
        <v>18</v>
      </c>
      <c r="C2" s="38">
        <v>599</v>
      </c>
      <c r="D2" s="41">
        <v>210</v>
      </c>
      <c r="E2" s="41">
        <v>20</v>
      </c>
    </row>
    <row r="3" spans="1:5" x14ac:dyDescent="0.3">
      <c r="A3" s="12" t="s">
        <v>14</v>
      </c>
      <c r="B3" s="1" t="s">
        <v>19</v>
      </c>
      <c r="C3" s="39">
        <v>799</v>
      </c>
      <c r="D3" s="42">
        <v>280</v>
      </c>
      <c r="E3" s="42">
        <v>25</v>
      </c>
    </row>
    <row r="4" spans="1:5" x14ac:dyDescent="0.3">
      <c r="A4" s="12" t="s">
        <v>15</v>
      </c>
      <c r="B4" s="1" t="s">
        <v>20</v>
      </c>
      <c r="C4" s="39">
        <v>999</v>
      </c>
      <c r="D4" s="42">
        <v>350</v>
      </c>
      <c r="E4" s="42">
        <v>30</v>
      </c>
    </row>
    <row r="5" spans="1:5" x14ac:dyDescent="0.3">
      <c r="A5" s="12" t="s">
        <v>16</v>
      </c>
      <c r="B5" s="1" t="s">
        <v>21</v>
      </c>
      <c r="C5" s="39">
        <v>1299</v>
      </c>
      <c r="D5" s="42">
        <v>455</v>
      </c>
      <c r="E5" s="42">
        <v>40</v>
      </c>
    </row>
    <row r="6" spans="1:5" ht="15" thickBot="1" x14ac:dyDescent="0.35">
      <c r="A6" s="14" t="s">
        <v>17</v>
      </c>
      <c r="B6" s="18" t="s">
        <v>72</v>
      </c>
      <c r="C6" s="40">
        <v>1899</v>
      </c>
      <c r="D6" s="43">
        <v>645</v>
      </c>
      <c r="E6" s="43">
        <v>45</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AF62F-2412-4FF1-894B-4BC40D34AA1E}">
  <dimension ref="A1:T101"/>
  <sheetViews>
    <sheetView zoomScaleNormal="100" workbookViewId="0">
      <pane ySplit="1" topLeftCell="A2" activePane="bottomLeft" state="frozen"/>
      <selection activeCell="B1" sqref="B1"/>
      <selection pane="bottomLeft"/>
    </sheetView>
  </sheetViews>
  <sheetFormatPr defaultRowHeight="14.4" x14ac:dyDescent="0.3"/>
  <cols>
    <col min="1" max="1" width="8" style="22" bestFit="1" customWidth="1"/>
    <col min="2" max="2" width="7.21875" style="22" bestFit="1" customWidth="1"/>
    <col min="3" max="3" width="16.6640625" style="22" bestFit="1" customWidth="1"/>
    <col min="4" max="4" width="11.88671875" style="22" bestFit="1" customWidth="1"/>
    <col min="5" max="5" width="13.21875" style="22" bestFit="1" customWidth="1"/>
    <col min="6" max="7" width="11.44140625" style="22" bestFit="1" customWidth="1"/>
    <col min="8" max="8" width="11.77734375" style="22" bestFit="1" customWidth="1"/>
    <col min="9" max="9" width="10" style="22" bestFit="1" customWidth="1"/>
    <col min="10" max="10" width="12.6640625" style="22" bestFit="1" customWidth="1"/>
    <col min="11" max="11" width="8.6640625" style="22" bestFit="1" customWidth="1"/>
    <col min="12" max="12" width="12.6640625" style="22" bestFit="1" customWidth="1"/>
    <col min="13" max="13" width="15.44140625" style="22" bestFit="1" customWidth="1"/>
    <col min="14" max="14" width="11.44140625" style="22" bestFit="1" customWidth="1"/>
    <col min="15" max="15" width="6.109375" style="22" bestFit="1" customWidth="1"/>
    <col min="16" max="16" width="19.21875" style="22" bestFit="1" customWidth="1"/>
    <col min="17" max="17" width="11" style="22" bestFit="1" customWidth="1"/>
    <col min="18" max="18" width="16" style="22" bestFit="1" customWidth="1"/>
    <col min="19" max="19" width="19.6640625" style="22" bestFit="1" customWidth="1"/>
    <col min="20" max="20" width="9.44140625" style="22" bestFit="1" customWidth="1"/>
  </cols>
  <sheetData>
    <row r="1" spans="1:20" ht="15" thickBot="1" x14ac:dyDescent="0.35">
      <c r="A1" s="7" t="s">
        <v>22</v>
      </c>
      <c r="B1" s="8" t="s">
        <v>10</v>
      </c>
      <c r="C1" s="8" t="s">
        <v>11</v>
      </c>
      <c r="D1" s="8" t="s">
        <v>0</v>
      </c>
      <c r="E1" s="8" t="s">
        <v>23</v>
      </c>
      <c r="F1" s="8" t="s">
        <v>24</v>
      </c>
      <c r="G1" s="8" t="s">
        <v>25</v>
      </c>
      <c r="H1" s="8" t="s">
        <v>26</v>
      </c>
      <c r="I1" s="8" t="s">
        <v>27</v>
      </c>
      <c r="J1" s="8" t="s">
        <v>28</v>
      </c>
      <c r="K1" s="8" t="s">
        <v>4</v>
      </c>
      <c r="L1" s="8" t="s">
        <v>29</v>
      </c>
      <c r="M1" s="8" t="s">
        <v>41</v>
      </c>
      <c r="N1" s="8" t="s">
        <v>9</v>
      </c>
      <c r="O1" s="8" t="s">
        <v>30</v>
      </c>
      <c r="P1" s="8" t="s">
        <v>31</v>
      </c>
      <c r="Q1" s="8" t="s">
        <v>32</v>
      </c>
      <c r="R1" s="8" t="s">
        <v>33</v>
      </c>
      <c r="S1" s="8" t="s">
        <v>34</v>
      </c>
      <c r="T1" s="9" t="s">
        <v>35</v>
      </c>
    </row>
    <row r="2" spans="1:20" x14ac:dyDescent="0.3">
      <c r="A2" s="10" t="str">
        <f>"ORD"&amp;TEXT(ROW(A2)-1, "000")</f>
        <v>ORD001</v>
      </c>
      <c r="B2" s="4" t="s">
        <v>13</v>
      </c>
      <c r="C2" s="4" t="str">
        <f>VLOOKUP(B2,SKUs!$A$2:$E$6,2,FALSE)</f>
        <v>Basic Cotton Kurta</v>
      </c>
      <c r="D2" s="4" t="s">
        <v>8</v>
      </c>
      <c r="E2" s="4" t="s">
        <v>36</v>
      </c>
      <c r="F2" s="4" t="s">
        <v>38</v>
      </c>
      <c r="G2" s="38">
        <f>VLOOKUP(Orders!B2,SKUs!$A$2:$D$6,3,FALSE)</f>
        <v>599</v>
      </c>
      <c r="H2" s="38">
        <f>VLOOKUP(B2,SKUs!$A$2:$D$6,4,FALSE)</f>
        <v>210</v>
      </c>
      <c r="I2" s="38">
        <f>VLOOKUP(B2,SKUs!$A$2:$E$6,5,FALSE)</f>
        <v>20</v>
      </c>
      <c r="J2" s="5">
        <f>VLOOKUP(D2,'Rates '!$A$2:$G$4,2,FALSE)</f>
        <v>0.02</v>
      </c>
      <c r="K2" s="6">
        <f>VLOOKUP(D2,'Rates '!$A$2:$G$4,3,FALSE)</f>
        <v>0</v>
      </c>
      <c r="L2" s="6">
        <f>VLOOKUP(D2,'Rates '!$A$2:$G$4,4,FALSE)</f>
        <v>75</v>
      </c>
      <c r="M2" s="6">
        <f>VLOOKUP(D2,'Rates '!$A$2:$G$4,5,FALSE)</f>
        <v>75</v>
      </c>
      <c r="N2" s="6">
        <f>VLOOKUP(D2,'Rates '!$A$2:$G$4,6,FALSE)</f>
        <v>0</v>
      </c>
      <c r="O2" s="44">
        <f>VLOOKUP(D2,'Rates '!$A$2:$G$4,7,FALSE)</f>
        <v>0</v>
      </c>
      <c r="P2" s="6">
        <f>G2*J2</f>
        <v>11.98</v>
      </c>
      <c r="Q2" s="6">
        <f>(P2+K2)*0.18</f>
        <v>2.1564000000000001</v>
      </c>
      <c r="R2" s="6">
        <f>IF(E2="COD",N2+(O2*G2),0)</f>
        <v>0</v>
      </c>
      <c r="S2" s="6">
        <f>IF(F2="Returned",M2,0)</f>
        <v>0</v>
      </c>
      <c r="T2" s="19">
        <f>IF(F2="Delivered",(G2-I2-K2-L2-P2-Q2-R2-H2),-(L2+R2+I2+S2))</f>
        <v>279.86359999999996</v>
      </c>
    </row>
    <row r="3" spans="1:20" x14ac:dyDescent="0.3">
      <c r="A3" s="12" t="str">
        <f>"ORD"&amp;TEXT(ROW(A3)-1, "000")</f>
        <v>ORD002</v>
      </c>
      <c r="B3" s="1" t="s">
        <v>17</v>
      </c>
      <c r="C3" s="4" t="str">
        <f>VLOOKUP(B3,SKUs!$A$2:$E$6,2,FALSE)</f>
        <v>Premium Silk Kurta</v>
      </c>
      <c r="D3" s="1" t="s">
        <v>8</v>
      </c>
      <c r="E3" s="1" t="s">
        <v>36</v>
      </c>
      <c r="F3" s="1" t="s">
        <v>38</v>
      </c>
      <c r="G3" s="39">
        <f>VLOOKUP(Orders!B3,SKUs!$A$2:$D$6,3,FALSE)</f>
        <v>1899</v>
      </c>
      <c r="H3" s="39">
        <f>VLOOKUP(B3,SKUs!$A$2:$D$6,4,FALSE)</f>
        <v>645</v>
      </c>
      <c r="I3" s="39">
        <f>VLOOKUP(B3,SKUs!$A$2:$E$6,5,FALSE)</f>
        <v>45</v>
      </c>
      <c r="J3" s="2">
        <f>VLOOKUP(D3,'Rates '!$A$2:$G$4,2,FALSE)</f>
        <v>0.02</v>
      </c>
      <c r="K3" s="3">
        <f>VLOOKUP(D3,'Rates '!$A$2:$G$4,3,FALSE)</f>
        <v>0</v>
      </c>
      <c r="L3" s="3">
        <f>VLOOKUP(D3,'Rates '!$A$2:$G$4,4,FALSE)</f>
        <v>75</v>
      </c>
      <c r="M3" s="3">
        <f>VLOOKUP(D3,'Rates '!$A$2:$G$4,5,FALSE)</f>
        <v>75</v>
      </c>
      <c r="N3" s="3">
        <f>VLOOKUP(D3,'Rates '!$A$2:$G$4,6,FALSE)</f>
        <v>0</v>
      </c>
      <c r="O3" s="45">
        <f>VLOOKUP(D3,'Rates '!$A$2:$G$4,7,FALSE)</f>
        <v>0</v>
      </c>
      <c r="P3" s="3">
        <f t="shared" ref="P3:P66" si="0">G3*J3</f>
        <v>37.980000000000004</v>
      </c>
      <c r="Q3" s="3">
        <f t="shared" ref="Q3:Q66" si="1">(P3+K3)*0.18</f>
        <v>6.8364000000000003</v>
      </c>
      <c r="R3" s="3">
        <f t="shared" ref="R3:R66" si="2">IF(E3="COD",N3+(O3*G3),0)</f>
        <v>0</v>
      </c>
      <c r="S3" s="3">
        <f t="shared" ref="S3:S66" si="3">IF(F3="Returned",M3,0)</f>
        <v>0</v>
      </c>
      <c r="T3" s="20">
        <f t="shared" ref="T3:T66" si="4">IF(F3="Delivered",(G3-I3-K3-L3-P3-Q3-R3-H3),-(L3+R3+I3+S3))</f>
        <v>1089.1836000000001</v>
      </c>
    </row>
    <row r="4" spans="1:20" x14ac:dyDescent="0.3">
      <c r="A4" s="12" t="str">
        <f t="shared" ref="A4:A67" si="5">"ORD"&amp;TEXT(ROW(A4)-1, "000")</f>
        <v>ORD003</v>
      </c>
      <c r="B4" s="1" t="s">
        <v>15</v>
      </c>
      <c r="C4" s="4" t="str">
        <f>VLOOKUP(B4,SKUs!$A$2:$E$6,2,FALSE)</f>
        <v>Embroidered Kurta</v>
      </c>
      <c r="D4" s="1" t="s">
        <v>7</v>
      </c>
      <c r="E4" s="1" t="s">
        <v>37</v>
      </c>
      <c r="F4" s="1" t="s">
        <v>38</v>
      </c>
      <c r="G4" s="39">
        <f>VLOOKUP(Orders!B4,SKUs!$A$2:$D$6,3,FALSE)</f>
        <v>999</v>
      </c>
      <c r="H4" s="39">
        <f>VLOOKUP(B4,SKUs!$A$2:$D$6,4,FALSE)</f>
        <v>350</v>
      </c>
      <c r="I4" s="39">
        <f>VLOOKUP(B4,SKUs!$A$2:$E$6,5,FALSE)</f>
        <v>30</v>
      </c>
      <c r="J4" s="2">
        <f>VLOOKUP(D4,'Rates '!$A$2:$G$4,2,FALSE)</f>
        <v>0.12</v>
      </c>
      <c r="K4" s="3">
        <f>VLOOKUP(D4,'Rates '!$A$2:$G$4,3,FALSE)</f>
        <v>40</v>
      </c>
      <c r="L4" s="3">
        <f>VLOOKUP(D4,'Rates '!$A$2:$G$4,4,FALSE)</f>
        <v>60</v>
      </c>
      <c r="M4" s="3">
        <f>VLOOKUP(D4,'Rates '!$A$2:$G$4,5,FALSE)</f>
        <v>60</v>
      </c>
      <c r="N4" s="3">
        <f>VLOOKUP(D4,'Rates '!$A$2:$G$4,6,FALSE)</f>
        <v>35</v>
      </c>
      <c r="O4" s="45">
        <f>VLOOKUP(D4,'Rates '!$A$2:$G$4,7,FALSE)</f>
        <v>0.02</v>
      </c>
      <c r="P4" s="3">
        <f t="shared" si="0"/>
        <v>119.88</v>
      </c>
      <c r="Q4" s="3">
        <f t="shared" si="1"/>
        <v>28.778399999999998</v>
      </c>
      <c r="R4" s="3">
        <f t="shared" si="2"/>
        <v>54.980000000000004</v>
      </c>
      <c r="S4" s="3">
        <f t="shared" si="3"/>
        <v>0</v>
      </c>
      <c r="T4" s="20">
        <f t="shared" si="4"/>
        <v>315.36159999999995</v>
      </c>
    </row>
    <row r="5" spans="1:20" x14ac:dyDescent="0.3">
      <c r="A5" s="12" t="str">
        <f t="shared" si="5"/>
        <v>ORD004</v>
      </c>
      <c r="B5" s="1" t="s">
        <v>15</v>
      </c>
      <c r="C5" s="4" t="str">
        <f>VLOOKUP(B5,SKUs!$A$2:$E$6,2,FALSE)</f>
        <v>Embroidered Kurta</v>
      </c>
      <c r="D5" s="1" t="s">
        <v>8</v>
      </c>
      <c r="E5" s="1" t="s">
        <v>36</v>
      </c>
      <c r="F5" s="1" t="s">
        <v>38</v>
      </c>
      <c r="G5" s="39">
        <f>VLOOKUP(Orders!B5,SKUs!$A$2:$D$6,3,FALSE)</f>
        <v>999</v>
      </c>
      <c r="H5" s="39">
        <f>VLOOKUP(B5,SKUs!$A$2:$D$6,4,FALSE)</f>
        <v>350</v>
      </c>
      <c r="I5" s="39">
        <f>VLOOKUP(B5,SKUs!$A$2:$E$6,5,FALSE)</f>
        <v>30</v>
      </c>
      <c r="J5" s="2">
        <f>VLOOKUP(D5,'Rates '!$A$2:$G$4,2,FALSE)</f>
        <v>0.02</v>
      </c>
      <c r="K5" s="3">
        <f>VLOOKUP(D5,'Rates '!$A$2:$G$4,3,FALSE)</f>
        <v>0</v>
      </c>
      <c r="L5" s="3">
        <f>VLOOKUP(D5,'Rates '!$A$2:$G$4,4,FALSE)</f>
        <v>75</v>
      </c>
      <c r="M5" s="3">
        <f>VLOOKUP(D5,'Rates '!$A$2:$G$4,5,FALSE)</f>
        <v>75</v>
      </c>
      <c r="N5" s="3">
        <f>VLOOKUP(D5,'Rates '!$A$2:$G$4,6,FALSE)</f>
        <v>0</v>
      </c>
      <c r="O5" s="45">
        <f>VLOOKUP(D5,'Rates '!$A$2:$G$4,7,FALSE)</f>
        <v>0</v>
      </c>
      <c r="P5" s="3">
        <f t="shared" si="0"/>
        <v>19.98</v>
      </c>
      <c r="Q5" s="3">
        <f t="shared" si="1"/>
        <v>3.5964</v>
      </c>
      <c r="R5" s="3">
        <f t="shared" si="2"/>
        <v>0</v>
      </c>
      <c r="S5" s="3">
        <f t="shared" si="3"/>
        <v>0</v>
      </c>
      <c r="T5" s="20">
        <f t="shared" si="4"/>
        <v>520.42359999999996</v>
      </c>
    </row>
    <row r="6" spans="1:20" x14ac:dyDescent="0.3">
      <c r="A6" s="12" t="str">
        <f t="shared" si="5"/>
        <v>ORD005</v>
      </c>
      <c r="B6" s="1" t="s">
        <v>13</v>
      </c>
      <c r="C6" s="4" t="str">
        <f>VLOOKUP(B6,SKUs!$A$2:$E$6,2,FALSE)</f>
        <v>Basic Cotton Kurta</v>
      </c>
      <c r="D6" s="1" t="s">
        <v>6</v>
      </c>
      <c r="E6" s="1" t="s">
        <v>36</v>
      </c>
      <c r="F6" s="1" t="s">
        <v>38</v>
      </c>
      <c r="G6" s="39">
        <f>VLOOKUP(Orders!B6,SKUs!$A$2:$D$6,3,FALSE)</f>
        <v>599</v>
      </c>
      <c r="H6" s="39">
        <f>VLOOKUP(B6,SKUs!$A$2:$D$6,4,FALSE)</f>
        <v>210</v>
      </c>
      <c r="I6" s="39">
        <f>VLOOKUP(B6,SKUs!$A$2:$E$6,5,FALSE)</f>
        <v>20</v>
      </c>
      <c r="J6" s="2">
        <f>VLOOKUP(D6,'Rates '!$A$2:$G$4,2,FALSE)</f>
        <v>0.22</v>
      </c>
      <c r="K6" s="3">
        <f>VLOOKUP(D6,'Rates '!$A$2:$G$4,3,FALSE)</f>
        <v>70</v>
      </c>
      <c r="L6" s="3">
        <f>VLOOKUP(D6,'Rates '!$A$2:$G$4,4,FALSE)</f>
        <v>70</v>
      </c>
      <c r="M6" s="3">
        <f>VLOOKUP(D6,'Rates '!$A$2:$G$4,5,FALSE)</f>
        <v>70</v>
      </c>
      <c r="N6" s="3">
        <f>VLOOKUP(D6,'Rates '!$A$2:$G$4,6,FALSE)</f>
        <v>35</v>
      </c>
      <c r="O6" s="45">
        <f>VLOOKUP(D6,'Rates '!$A$2:$G$4,7,FALSE)</f>
        <v>0.02</v>
      </c>
      <c r="P6" s="3">
        <f t="shared" si="0"/>
        <v>131.78</v>
      </c>
      <c r="Q6" s="3">
        <f t="shared" si="1"/>
        <v>36.320399999999999</v>
      </c>
      <c r="R6" s="3">
        <f t="shared" si="2"/>
        <v>0</v>
      </c>
      <c r="S6" s="3">
        <f t="shared" si="3"/>
        <v>0</v>
      </c>
      <c r="T6" s="20">
        <f t="shared" si="4"/>
        <v>60.899600000000021</v>
      </c>
    </row>
    <row r="7" spans="1:20" x14ac:dyDescent="0.3">
      <c r="A7" s="12" t="str">
        <f t="shared" si="5"/>
        <v>ORD006</v>
      </c>
      <c r="B7" s="1" t="s">
        <v>14</v>
      </c>
      <c r="C7" s="4" t="str">
        <f>VLOOKUP(B7,SKUs!$A$2:$E$6,2,FALSE)</f>
        <v>Printed Kurta</v>
      </c>
      <c r="D7" s="1" t="s">
        <v>7</v>
      </c>
      <c r="E7" s="1" t="s">
        <v>36</v>
      </c>
      <c r="F7" s="1" t="s">
        <v>39</v>
      </c>
      <c r="G7" s="39">
        <f>VLOOKUP(Orders!B7,SKUs!$A$2:$D$6,3,FALSE)</f>
        <v>799</v>
      </c>
      <c r="H7" s="39">
        <f>VLOOKUP(B7,SKUs!$A$2:$D$6,4,FALSE)</f>
        <v>280</v>
      </c>
      <c r="I7" s="39">
        <f>VLOOKUP(B7,SKUs!$A$2:$E$6,5,FALSE)</f>
        <v>25</v>
      </c>
      <c r="J7" s="2">
        <f>VLOOKUP(D7,'Rates '!$A$2:$G$4,2,FALSE)</f>
        <v>0.12</v>
      </c>
      <c r="K7" s="3">
        <f>VLOOKUP(D7,'Rates '!$A$2:$G$4,3,FALSE)</f>
        <v>40</v>
      </c>
      <c r="L7" s="3">
        <f>VLOOKUP(D7,'Rates '!$A$2:$G$4,4,FALSE)</f>
        <v>60</v>
      </c>
      <c r="M7" s="3">
        <f>VLOOKUP(D7,'Rates '!$A$2:$G$4,5,FALSE)</f>
        <v>60</v>
      </c>
      <c r="N7" s="3">
        <f>VLOOKUP(D7,'Rates '!$A$2:$G$4,6,FALSE)</f>
        <v>35</v>
      </c>
      <c r="O7" s="45">
        <f>VLOOKUP(D7,'Rates '!$A$2:$G$4,7,FALSE)</f>
        <v>0.02</v>
      </c>
      <c r="P7" s="3">
        <f t="shared" si="0"/>
        <v>95.88</v>
      </c>
      <c r="Q7" s="3">
        <f t="shared" si="1"/>
        <v>24.458399999999997</v>
      </c>
      <c r="R7" s="3">
        <f t="shared" si="2"/>
        <v>0</v>
      </c>
      <c r="S7" s="3">
        <f t="shared" si="3"/>
        <v>60</v>
      </c>
      <c r="T7" s="20">
        <f t="shared" si="4"/>
        <v>-145</v>
      </c>
    </row>
    <row r="8" spans="1:20" x14ac:dyDescent="0.3">
      <c r="A8" s="12" t="str">
        <f t="shared" si="5"/>
        <v>ORD007</v>
      </c>
      <c r="B8" s="1" t="s">
        <v>13</v>
      </c>
      <c r="C8" s="4" t="str">
        <f>VLOOKUP(B8,SKUs!$A$2:$E$6,2,FALSE)</f>
        <v>Basic Cotton Kurta</v>
      </c>
      <c r="D8" s="1" t="s">
        <v>6</v>
      </c>
      <c r="E8" s="1" t="s">
        <v>36</v>
      </c>
      <c r="F8" s="1" t="s">
        <v>38</v>
      </c>
      <c r="G8" s="39">
        <f>VLOOKUP(Orders!B8,SKUs!$A$2:$D$6,3,FALSE)</f>
        <v>599</v>
      </c>
      <c r="H8" s="39">
        <f>VLOOKUP(B8,SKUs!$A$2:$D$6,4,FALSE)</f>
        <v>210</v>
      </c>
      <c r="I8" s="39">
        <f>VLOOKUP(B8,SKUs!$A$2:$E$6,5,FALSE)</f>
        <v>20</v>
      </c>
      <c r="J8" s="2">
        <f>VLOOKUP(D8,'Rates '!$A$2:$G$4,2,FALSE)</f>
        <v>0.22</v>
      </c>
      <c r="K8" s="3">
        <f>VLOOKUP(D8,'Rates '!$A$2:$G$4,3,FALSE)</f>
        <v>70</v>
      </c>
      <c r="L8" s="3">
        <f>VLOOKUP(D8,'Rates '!$A$2:$G$4,4,FALSE)</f>
        <v>70</v>
      </c>
      <c r="M8" s="3">
        <f>VLOOKUP(D8,'Rates '!$A$2:$G$4,5,FALSE)</f>
        <v>70</v>
      </c>
      <c r="N8" s="3">
        <f>VLOOKUP(D8,'Rates '!$A$2:$G$4,6,FALSE)</f>
        <v>35</v>
      </c>
      <c r="O8" s="45">
        <f>VLOOKUP(D8,'Rates '!$A$2:$G$4,7,FALSE)</f>
        <v>0.02</v>
      </c>
      <c r="P8" s="3">
        <f t="shared" si="0"/>
        <v>131.78</v>
      </c>
      <c r="Q8" s="3">
        <f t="shared" si="1"/>
        <v>36.320399999999999</v>
      </c>
      <c r="R8" s="3">
        <f t="shared" si="2"/>
        <v>0</v>
      </c>
      <c r="S8" s="3">
        <f t="shared" si="3"/>
        <v>0</v>
      </c>
      <c r="T8" s="20">
        <f t="shared" si="4"/>
        <v>60.899600000000021</v>
      </c>
    </row>
    <row r="9" spans="1:20" x14ac:dyDescent="0.3">
      <c r="A9" s="12" t="str">
        <f t="shared" si="5"/>
        <v>ORD008</v>
      </c>
      <c r="B9" s="1" t="s">
        <v>14</v>
      </c>
      <c r="C9" s="4" t="str">
        <f>VLOOKUP(B9,SKUs!$A$2:$E$6,2,FALSE)</f>
        <v>Printed Kurta</v>
      </c>
      <c r="D9" s="1" t="s">
        <v>7</v>
      </c>
      <c r="E9" s="1" t="s">
        <v>36</v>
      </c>
      <c r="F9" s="1" t="s">
        <v>38</v>
      </c>
      <c r="G9" s="39">
        <f>VLOOKUP(Orders!B9,SKUs!$A$2:$D$6,3,FALSE)</f>
        <v>799</v>
      </c>
      <c r="H9" s="39">
        <f>VLOOKUP(B9,SKUs!$A$2:$D$6,4,FALSE)</f>
        <v>280</v>
      </c>
      <c r="I9" s="39">
        <f>VLOOKUP(B9,SKUs!$A$2:$E$6,5,FALSE)</f>
        <v>25</v>
      </c>
      <c r="J9" s="2">
        <f>VLOOKUP(D9,'Rates '!$A$2:$G$4,2,FALSE)</f>
        <v>0.12</v>
      </c>
      <c r="K9" s="3">
        <f>VLOOKUP(D9,'Rates '!$A$2:$G$4,3,FALSE)</f>
        <v>40</v>
      </c>
      <c r="L9" s="3">
        <f>VLOOKUP(D9,'Rates '!$A$2:$G$4,4,FALSE)</f>
        <v>60</v>
      </c>
      <c r="M9" s="3">
        <f>VLOOKUP(D9,'Rates '!$A$2:$G$4,5,FALSE)</f>
        <v>60</v>
      </c>
      <c r="N9" s="3">
        <f>VLOOKUP(D9,'Rates '!$A$2:$G$4,6,FALSE)</f>
        <v>35</v>
      </c>
      <c r="O9" s="45">
        <f>VLOOKUP(D9,'Rates '!$A$2:$G$4,7,FALSE)</f>
        <v>0.02</v>
      </c>
      <c r="P9" s="3">
        <f t="shared" si="0"/>
        <v>95.88</v>
      </c>
      <c r="Q9" s="3">
        <f t="shared" si="1"/>
        <v>24.458399999999997</v>
      </c>
      <c r="R9" s="3">
        <f t="shared" si="2"/>
        <v>0</v>
      </c>
      <c r="S9" s="3">
        <f t="shared" si="3"/>
        <v>0</v>
      </c>
      <c r="T9" s="20">
        <f t="shared" si="4"/>
        <v>273.66160000000002</v>
      </c>
    </row>
    <row r="10" spans="1:20" x14ac:dyDescent="0.3">
      <c r="A10" s="12" t="str">
        <f t="shared" si="5"/>
        <v>ORD009</v>
      </c>
      <c r="B10" s="1" t="s">
        <v>14</v>
      </c>
      <c r="C10" s="4" t="str">
        <f>VLOOKUP(B10,SKUs!$A$2:$E$6,2,FALSE)</f>
        <v>Printed Kurta</v>
      </c>
      <c r="D10" s="1" t="s">
        <v>7</v>
      </c>
      <c r="E10" s="1" t="s">
        <v>36</v>
      </c>
      <c r="F10" s="1" t="s">
        <v>38</v>
      </c>
      <c r="G10" s="39">
        <f>VLOOKUP(Orders!B10,SKUs!$A$2:$D$6,3,FALSE)</f>
        <v>799</v>
      </c>
      <c r="H10" s="39">
        <f>VLOOKUP(B10,SKUs!$A$2:$D$6,4,FALSE)</f>
        <v>280</v>
      </c>
      <c r="I10" s="39">
        <f>VLOOKUP(B10,SKUs!$A$2:$E$6,5,FALSE)</f>
        <v>25</v>
      </c>
      <c r="J10" s="2">
        <f>VLOOKUP(D10,'Rates '!$A$2:$G$4,2,FALSE)</f>
        <v>0.12</v>
      </c>
      <c r="K10" s="3">
        <f>VLOOKUP(D10,'Rates '!$A$2:$G$4,3,FALSE)</f>
        <v>40</v>
      </c>
      <c r="L10" s="3">
        <f>VLOOKUP(D10,'Rates '!$A$2:$G$4,4,FALSE)</f>
        <v>60</v>
      </c>
      <c r="M10" s="3">
        <f>VLOOKUP(D10,'Rates '!$A$2:$G$4,5,FALSE)</f>
        <v>60</v>
      </c>
      <c r="N10" s="3">
        <f>VLOOKUP(D10,'Rates '!$A$2:$G$4,6,FALSE)</f>
        <v>35</v>
      </c>
      <c r="O10" s="45">
        <f>VLOOKUP(D10,'Rates '!$A$2:$G$4,7,FALSE)</f>
        <v>0.02</v>
      </c>
      <c r="P10" s="3">
        <f t="shared" si="0"/>
        <v>95.88</v>
      </c>
      <c r="Q10" s="3">
        <f t="shared" si="1"/>
        <v>24.458399999999997</v>
      </c>
      <c r="R10" s="3">
        <f t="shared" si="2"/>
        <v>0</v>
      </c>
      <c r="S10" s="3">
        <f t="shared" si="3"/>
        <v>0</v>
      </c>
      <c r="T10" s="20">
        <f t="shared" si="4"/>
        <v>273.66160000000002</v>
      </c>
    </row>
    <row r="11" spans="1:20" x14ac:dyDescent="0.3">
      <c r="A11" s="12" t="str">
        <f t="shared" si="5"/>
        <v>ORD010</v>
      </c>
      <c r="B11" s="1" t="s">
        <v>15</v>
      </c>
      <c r="C11" s="4" t="str">
        <f>VLOOKUP(B11,SKUs!$A$2:$E$6,2,FALSE)</f>
        <v>Embroidered Kurta</v>
      </c>
      <c r="D11" s="1" t="s">
        <v>7</v>
      </c>
      <c r="E11" s="1" t="s">
        <v>37</v>
      </c>
      <c r="F11" s="1" t="s">
        <v>39</v>
      </c>
      <c r="G11" s="39">
        <f>VLOOKUP(Orders!B11,SKUs!$A$2:$D$6,3,FALSE)</f>
        <v>999</v>
      </c>
      <c r="H11" s="39">
        <f>VLOOKUP(B11,SKUs!$A$2:$D$6,4,FALSE)</f>
        <v>350</v>
      </c>
      <c r="I11" s="39">
        <f>VLOOKUP(B11,SKUs!$A$2:$E$6,5,FALSE)</f>
        <v>30</v>
      </c>
      <c r="J11" s="2">
        <f>VLOOKUP(D11,'Rates '!$A$2:$G$4,2,FALSE)</f>
        <v>0.12</v>
      </c>
      <c r="K11" s="3">
        <f>VLOOKUP(D11,'Rates '!$A$2:$G$4,3,FALSE)</f>
        <v>40</v>
      </c>
      <c r="L11" s="3">
        <f>VLOOKUP(D11,'Rates '!$A$2:$G$4,4,FALSE)</f>
        <v>60</v>
      </c>
      <c r="M11" s="3">
        <f>VLOOKUP(D11,'Rates '!$A$2:$G$4,5,FALSE)</f>
        <v>60</v>
      </c>
      <c r="N11" s="3">
        <f>VLOOKUP(D11,'Rates '!$A$2:$G$4,6,FALSE)</f>
        <v>35</v>
      </c>
      <c r="O11" s="45">
        <f>VLOOKUP(D11,'Rates '!$A$2:$G$4,7,FALSE)</f>
        <v>0.02</v>
      </c>
      <c r="P11" s="3">
        <f t="shared" si="0"/>
        <v>119.88</v>
      </c>
      <c r="Q11" s="3">
        <f t="shared" si="1"/>
        <v>28.778399999999998</v>
      </c>
      <c r="R11" s="3">
        <f t="shared" si="2"/>
        <v>54.980000000000004</v>
      </c>
      <c r="S11" s="3">
        <f t="shared" si="3"/>
        <v>60</v>
      </c>
      <c r="T11" s="20">
        <f t="shared" si="4"/>
        <v>-204.98000000000002</v>
      </c>
    </row>
    <row r="12" spans="1:20" x14ac:dyDescent="0.3">
      <c r="A12" s="12" t="str">
        <f t="shared" si="5"/>
        <v>ORD011</v>
      </c>
      <c r="B12" s="1" t="s">
        <v>13</v>
      </c>
      <c r="C12" s="4" t="str">
        <f>VLOOKUP(B12,SKUs!$A$2:$E$6,2,FALSE)</f>
        <v>Basic Cotton Kurta</v>
      </c>
      <c r="D12" s="1" t="s">
        <v>6</v>
      </c>
      <c r="E12" s="1" t="s">
        <v>36</v>
      </c>
      <c r="F12" s="1" t="s">
        <v>38</v>
      </c>
      <c r="G12" s="39">
        <f>VLOOKUP(Orders!B12,SKUs!$A$2:$D$6,3,FALSE)</f>
        <v>599</v>
      </c>
      <c r="H12" s="39">
        <f>VLOOKUP(B12,SKUs!$A$2:$D$6,4,FALSE)</f>
        <v>210</v>
      </c>
      <c r="I12" s="39">
        <f>VLOOKUP(B12,SKUs!$A$2:$E$6,5,FALSE)</f>
        <v>20</v>
      </c>
      <c r="J12" s="2">
        <f>VLOOKUP(D12,'Rates '!$A$2:$G$4,2,FALSE)</f>
        <v>0.22</v>
      </c>
      <c r="K12" s="3">
        <f>VLOOKUP(D12,'Rates '!$A$2:$G$4,3,FALSE)</f>
        <v>70</v>
      </c>
      <c r="L12" s="3">
        <f>VLOOKUP(D12,'Rates '!$A$2:$G$4,4,FALSE)</f>
        <v>70</v>
      </c>
      <c r="M12" s="3">
        <f>VLOOKUP(D12,'Rates '!$A$2:$G$4,5,FALSE)</f>
        <v>70</v>
      </c>
      <c r="N12" s="3">
        <f>VLOOKUP(D12,'Rates '!$A$2:$G$4,6,FALSE)</f>
        <v>35</v>
      </c>
      <c r="O12" s="45">
        <f>VLOOKUP(D12,'Rates '!$A$2:$G$4,7,FALSE)</f>
        <v>0.02</v>
      </c>
      <c r="P12" s="3">
        <f t="shared" si="0"/>
        <v>131.78</v>
      </c>
      <c r="Q12" s="3">
        <f t="shared" si="1"/>
        <v>36.320399999999999</v>
      </c>
      <c r="R12" s="3">
        <f t="shared" si="2"/>
        <v>0</v>
      </c>
      <c r="S12" s="3">
        <f t="shared" si="3"/>
        <v>0</v>
      </c>
      <c r="T12" s="20">
        <f t="shared" si="4"/>
        <v>60.899600000000021</v>
      </c>
    </row>
    <row r="13" spans="1:20" x14ac:dyDescent="0.3">
      <c r="A13" s="12" t="str">
        <f t="shared" si="5"/>
        <v>ORD012</v>
      </c>
      <c r="B13" s="1" t="s">
        <v>16</v>
      </c>
      <c r="C13" s="4" t="str">
        <f>VLOOKUP(B13,SKUs!$A$2:$E$6,2,FALSE)</f>
        <v>Designer Kurta</v>
      </c>
      <c r="D13" s="1" t="s">
        <v>7</v>
      </c>
      <c r="E13" s="1" t="s">
        <v>37</v>
      </c>
      <c r="F13" s="1" t="s">
        <v>39</v>
      </c>
      <c r="G13" s="39">
        <f>VLOOKUP(Orders!B13,SKUs!$A$2:$D$6,3,FALSE)</f>
        <v>1299</v>
      </c>
      <c r="H13" s="39">
        <f>VLOOKUP(B13,SKUs!$A$2:$D$6,4,FALSE)</f>
        <v>455</v>
      </c>
      <c r="I13" s="39">
        <f>VLOOKUP(B13,SKUs!$A$2:$E$6,5,FALSE)</f>
        <v>40</v>
      </c>
      <c r="J13" s="2">
        <f>VLOOKUP(D13,'Rates '!$A$2:$G$4,2,FALSE)</f>
        <v>0.12</v>
      </c>
      <c r="K13" s="3">
        <f>VLOOKUP(D13,'Rates '!$A$2:$G$4,3,FALSE)</f>
        <v>40</v>
      </c>
      <c r="L13" s="3">
        <f>VLOOKUP(D13,'Rates '!$A$2:$G$4,4,FALSE)</f>
        <v>60</v>
      </c>
      <c r="M13" s="3">
        <f>VLOOKUP(D13,'Rates '!$A$2:$G$4,5,FALSE)</f>
        <v>60</v>
      </c>
      <c r="N13" s="3">
        <f>VLOOKUP(D13,'Rates '!$A$2:$G$4,6,FALSE)</f>
        <v>35</v>
      </c>
      <c r="O13" s="45">
        <f>VLOOKUP(D13,'Rates '!$A$2:$G$4,7,FALSE)</f>
        <v>0.02</v>
      </c>
      <c r="P13" s="3">
        <f t="shared" si="0"/>
        <v>155.88</v>
      </c>
      <c r="Q13" s="3">
        <f t="shared" si="1"/>
        <v>35.258399999999995</v>
      </c>
      <c r="R13" s="3">
        <f t="shared" si="2"/>
        <v>60.980000000000004</v>
      </c>
      <c r="S13" s="3">
        <f t="shared" si="3"/>
        <v>60</v>
      </c>
      <c r="T13" s="20">
        <f t="shared" si="4"/>
        <v>-220.98000000000002</v>
      </c>
    </row>
    <row r="14" spans="1:20" x14ac:dyDescent="0.3">
      <c r="A14" s="12" t="str">
        <f t="shared" si="5"/>
        <v>ORD013</v>
      </c>
      <c r="B14" s="1" t="s">
        <v>13</v>
      </c>
      <c r="C14" s="4" t="str">
        <f>VLOOKUP(B14,SKUs!$A$2:$E$6,2,FALSE)</f>
        <v>Basic Cotton Kurta</v>
      </c>
      <c r="D14" s="1" t="s">
        <v>6</v>
      </c>
      <c r="E14" s="1" t="s">
        <v>37</v>
      </c>
      <c r="F14" s="1" t="s">
        <v>38</v>
      </c>
      <c r="G14" s="39">
        <f>VLOOKUP(Orders!B14,SKUs!$A$2:$D$6,3,FALSE)</f>
        <v>599</v>
      </c>
      <c r="H14" s="39">
        <f>VLOOKUP(B14,SKUs!$A$2:$D$6,4,FALSE)</f>
        <v>210</v>
      </c>
      <c r="I14" s="39">
        <f>VLOOKUP(B14,SKUs!$A$2:$E$6,5,FALSE)</f>
        <v>20</v>
      </c>
      <c r="J14" s="2">
        <f>VLOOKUP(D14,'Rates '!$A$2:$G$4,2,FALSE)</f>
        <v>0.22</v>
      </c>
      <c r="K14" s="3">
        <f>VLOOKUP(D14,'Rates '!$A$2:$G$4,3,FALSE)</f>
        <v>70</v>
      </c>
      <c r="L14" s="3">
        <f>VLOOKUP(D14,'Rates '!$A$2:$G$4,4,FALSE)</f>
        <v>70</v>
      </c>
      <c r="M14" s="3">
        <f>VLOOKUP(D14,'Rates '!$A$2:$G$4,5,FALSE)</f>
        <v>70</v>
      </c>
      <c r="N14" s="3">
        <f>VLOOKUP(D14,'Rates '!$A$2:$G$4,6,FALSE)</f>
        <v>35</v>
      </c>
      <c r="O14" s="45">
        <f>VLOOKUP(D14,'Rates '!$A$2:$G$4,7,FALSE)</f>
        <v>0.02</v>
      </c>
      <c r="P14" s="3">
        <f t="shared" si="0"/>
        <v>131.78</v>
      </c>
      <c r="Q14" s="3">
        <f t="shared" si="1"/>
        <v>36.320399999999999</v>
      </c>
      <c r="R14" s="3">
        <f t="shared" si="2"/>
        <v>46.980000000000004</v>
      </c>
      <c r="S14" s="3">
        <f t="shared" si="3"/>
        <v>0</v>
      </c>
      <c r="T14" s="20">
        <f t="shared" si="4"/>
        <v>13.919600000000003</v>
      </c>
    </row>
    <row r="15" spans="1:20" x14ac:dyDescent="0.3">
      <c r="A15" s="12" t="str">
        <f t="shared" si="5"/>
        <v>ORD014</v>
      </c>
      <c r="B15" s="1" t="s">
        <v>13</v>
      </c>
      <c r="C15" s="4" t="str">
        <f>VLOOKUP(B15,SKUs!$A$2:$E$6,2,FALSE)</f>
        <v>Basic Cotton Kurta</v>
      </c>
      <c r="D15" s="1" t="s">
        <v>8</v>
      </c>
      <c r="E15" s="1" t="s">
        <v>36</v>
      </c>
      <c r="F15" s="1" t="s">
        <v>38</v>
      </c>
      <c r="G15" s="39">
        <f>VLOOKUP(Orders!B15,SKUs!$A$2:$D$6,3,FALSE)</f>
        <v>599</v>
      </c>
      <c r="H15" s="39">
        <f>VLOOKUP(B15,SKUs!$A$2:$D$6,4,FALSE)</f>
        <v>210</v>
      </c>
      <c r="I15" s="39">
        <f>VLOOKUP(B15,SKUs!$A$2:$E$6,5,FALSE)</f>
        <v>20</v>
      </c>
      <c r="J15" s="2">
        <f>VLOOKUP(D15,'Rates '!$A$2:$G$4,2,FALSE)</f>
        <v>0.02</v>
      </c>
      <c r="K15" s="3">
        <f>VLOOKUP(D15,'Rates '!$A$2:$G$4,3,FALSE)</f>
        <v>0</v>
      </c>
      <c r="L15" s="3">
        <f>VLOOKUP(D15,'Rates '!$A$2:$G$4,4,FALSE)</f>
        <v>75</v>
      </c>
      <c r="M15" s="3">
        <f>VLOOKUP(D15,'Rates '!$A$2:$G$4,5,FALSE)</f>
        <v>75</v>
      </c>
      <c r="N15" s="3">
        <f>VLOOKUP(D15,'Rates '!$A$2:$G$4,6,FALSE)</f>
        <v>0</v>
      </c>
      <c r="O15" s="45">
        <f>VLOOKUP(D15,'Rates '!$A$2:$G$4,7,FALSE)</f>
        <v>0</v>
      </c>
      <c r="P15" s="3">
        <f t="shared" si="0"/>
        <v>11.98</v>
      </c>
      <c r="Q15" s="3">
        <f t="shared" si="1"/>
        <v>2.1564000000000001</v>
      </c>
      <c r="R15" s="3">
        <f t="shared" si="2"/>
        <v>0</v>
      </c>
      <c r="S15" s="3">
        <f t="shared" si="3"/>
        <v>0</v>
      </c>
      <c r="T15" s="20">
        <f t="shared" si="4"/>
        <v>279.86359999999996</v>
      </c>
    </row>
    <row r="16" spans="1:20" x14ac:dyDescent="0.3">
      <c r="A16" s="12" t="str">
        <f t="shared" si="5"/>
        <v>ORD015</v>
      </c>
      <c r="B16" s="1" t="s">
        <v>15</v>
      </c>
      <c r="C16" s="4" t="str">
        <f>VLOOKUP(B16,SKUs!$A$2:$E$6,2,FALSE)</f>
        <v>Embroidered Kurta</v>
      </c>
      <c r="D16" s="1" t="s">
        <v>8</v>
      </c>
      <c r="E16" s="1" t="s">
        <v>36</v>
      </c>
      <c r="F16" s="1" t="s">
        <v>38</v>
      </c>
      <c r="G16" s="39">
        <f>VLOOKUP(Orders!B16,SKUs!$A$2:$D$6,3,FALSE)</f>
        <v>999</v>
      </c>
      <c r="H16" s="39">
        <f>VLOOKUP(B16,SKUs!$A$2:$D$6,4,FALSE)</f>
        <v>350</v>
      </c>
      <c r="I16" s="39">
        <f>VLOOKUP(B16,SKUs!$A$2:$E$6,5,FALSE)</f>
        <v>30</v>
      </c>
      <c r="J16" s="2">
        <f>VLOOKUP(D16,'Rates '!$A$2:$G$4,2,FALSE)</f>
        <v>0.02</v>
      </c>
      <c r="K16" s="3">
        <f>VLOOKUP(D16,'Rates '!$A$2:$G$4,3,FALSE)</f>
        <v>0</v>
      </c>
      <c r="L16" s="3">
        <f>VLOOKUP(D16,'Rates '!$A$2:$G$4,4,FALSE)</f>
        <v>75</v>
      </c>
      <c r="M16" s="3">
        <f>VLOOKUP(D16,'Rates '!$A$2:$G$4,5,FALSE)</f>
        <v>75</v>
      </c>
      <c r="N16" s="3">
        <f>VLOOKUP(D16,'Rates '!$A$2:$G$4,6,FALSE)</f>
        <v>0</v>
      </c>
      <c r="O16" s="45">
        <f>VLOOKUP(D16,'Rates '!$A$2:$G$4,7,FALSE)</f>
        <v>0</v>
      </c>
      <c r="P16" s="3">
        <f t="shared" si="0"/>
        <v>19.98</v>
      </c>
      <c r="Q16" s="3">
        <f t="shared" si="1"/>
        <v>3.5964</v>
      </c>
      <c r="R16" s="3">
        <f t="shared" si="2"/>
        <v>0</v>
      </c>
      <c r="S16" s="3">
        <f t="shared" si="3"/>
        <v>0</v>
      </c>
      <c r="T16" s="20">
        <f t="shared" si="4"/>
        <v>520.42359999999996</v>
      </c>
    </row>
    <row r="17" spans="1:20" x14ac:dyDescent="0.3">
      <c r="A17" s="12" t="str">
        <f t="shared" si="5"/>
        <v>ORD016</v>
      </c>
      <c r="B17" s="1" t="s">
        <v>15</v>
      </c>
      <c r="C17" s="4" t="str">
        <f>VLOOKUP(B17,SKUs!$A$2:$E$6,2,FALSE)</f>
        <v>Embroidered Kurta</v>
      </c>
      <c r="D17" s="1" t="s">
        <v>6</v>
      </c>
      <c r="E17" s="1" t="s">
        <v>36</v>
      </c>
      <c r="F17" s="1" t="s">
        <v>38</v>
      </c>
      <c r="G17" s="39">
        <f>VLOOKUP(Orders!B17,SKUs!$A$2:$D$6,3,FALSE)</f>
        <v>999</v>
      </c>
      <c r="H17" s="39">
        <f>VLOOKUP(B17,SKUs!$A$2:$D$6,4,FALSE)</f>
        <v>350</v>
      </c>
      <c r="I17" s="39">
        <f>VLOOKUP(B17,SKUs!$A$2:$E$6,5,FALSE)</f>
        <v>30</v>
      </c>
      <c r="J17" s="2">
        <f>VLOOKUP(D17,'Rates '!$A$2:$G$4,2,FALSE)</f>
        <v>0.22</v>
      </c>
      <c r="K17" s="3">
        <f>VLOOKUP(D17,'Rates '!$A$2:$G$4,3,FALSE)</f>
        <v>70</v>
      </c>
      <c r="L17" s="3">
        <f>VLOOKUP(D17,'Rates '!$A$2:$G$4,4,FALSE)</f>
        <v>70</v>
      </c>
      <c r="M17" s="3">
        <f>VLOOKUP(D17,'Rates '!$A$2:$G$4,5,FALSE)</f>
        <v>70</v>
      </c>
      <c r="N17" s="3">
        <f>VLOOKUP(D17,'Rates '!$A$2:$G$4,6,FALSE)</f>
        <v>35</v>
      </c>
      <c r="O17" s="45">
        <f>VLOOKUP(D17,'Rates '!$A$2:$G$4,7,FALSE)</f>
        <v>0.02</v>
      </c>
      <c r="P17" s="3">
        <f t="shared" si="0"/>
        <v>219.78</v>
      </c>
      <c r="Q17" s="3">
        <f t="shared" si="1"/>
        <v>52.160399999999996</v>
      </c>
      <c r="R17" s="3">
        <f t="shared" si="2"/>
        <v>0</v>
      </c>
      <c r="S17" s="3">
        <f t="shared" si="3"/>
        <v>0</v>
      </c>
      <c r="T17" s="20">
        <f t="shared" si="4"/>
        <v>207.05960000000005</v>
      </c>
    </row>
    <row r="18" spans="1:20" x14ac:dyDescent="0.3">
      <c r="A18" s="12" t="str">
        <f t="shared" si="5"/>
        <v>ORD017</v>
      </c>
      <c r="B18" s="1" t="s">
        <v>14</v>
      </c>
      <c r="C18" s="4" t="str">
        <f>VLOOKUP(B18,SKUs!$A$2:$E$6,2,FALSE)</f>
        <v>Printed Kurta</v>
      </c>
      <c r="D18" s="1" t="s">
        <v>8</v>
      </c>
      <c r="E18" s="1" t="s">
        <v>36</v>
      </c>
      <c r="F18" s="1" t="s">
        <v>39</v>
      </c>
      <c r="G18" s="39">
        <f>VLOOKUP(Orders!B18,SKUs!$A$2:$D$6,3,FALSE)</f>
        <v>799</v>
      </c>
      <c r="H18" s="39">
        <f>VLOOKUP(B18,SKUs!$A$2:$D$6,4,FALSE)</f>
        <v>280</v>
      </c>
      <c r="I18" s="39">
        <f>VLOOKUP(B18,SKUs!$A$2:$E$6,5,FALSE)</f>
        <v>25</v>
      </c>
      <c r="J18" s="2">
        <f>VLOOKUP(D18,'Rates '!$A$2:$G$4,2,FALSE)</f>
        <v>0.02</v>
      </c>
      <c r="K18" s="3">
        <f>VLOOKUP(D18,'Rates '!$A$2:$G$4,3,FALSE)</f>
        <v>0</v>
      </c>
      <c r="L18" s="3">
        <f>VLOOKUP(D18,'Rates '!$A$2:$G$4,4,FALSE)</f>
        <v>75</v>
      </c>
      <c r="M18" s="3">
        <f>VLOOKUP(D18,'Rates '!$A$2:$G$4,5,FALSE)</f>
        <v>75</v>
      </c>
      <c r="N18" s="3">
        <f>VLOOKUP(D18,'Rates '!$A$2:$G$4,6,FALSE)</f>
        <v>0</v>
      </c>
      <c r="O18" s="45">
        <f>VLOOKUP(D18,'Rates '!$A$2:$G$4,7,FALSE)</f>
        <v>0</v>
      </c>
      <c r="P18" s="3">
        <f t="shared" si="0"/>
        <v>15.98</v>
      </c>
      <c r="Q18" s="3">
        <f t="shared" si="1"/>
        <v>2.8763999999999998</v>
      </c>
      <c r="R18" s="3">
        <f t="shared" si="2"/>
        <v>0</v>
      </c>
      <c r="S18" s="3">
        <f t="shared" si="3"/>
        <v>75</v>
      </c>
      <c r="T18" s="20">
        <f t="shared" si="4"/>
        <v>-175</v>
      </c>
    </row>
    <row r="19" spans="1:20" x14ac:dyDescent="0.3">
      <c r="A19" s="12" t="str">
        <f t="shared" si="5"/>
        <v>ORD018</v>
      </c>
      <c r="B19" s="1" t="s">
        <v>17</v>
      </c>
      <c r="C19" s="4" t="str">
        <f>VLOOKUP(B19,SKUs!$A$2:$E$6,2,FALSE)</f>
        <v>Premium Silk Kurta</v>
      </c>
      <c r="D19" s="1" t="s">
        <v>7</v>
      </c>
      <c r="E19" s="1" t="s">
        <v>37</v>
      </c>
      <c r="F19" s="1" t="s">
        <v>39</v>
      </c>
      <c r="G19" s="39">
        <f>VLOOKUP(Orders!B19,SKUs!$A$2:$D$6,3,FALSE)</f>
        <v>1899</v>
      </c>
      <c r="H19" s="39">
        <f>VLOOKUP(B19,SKUs!$A$2:$D$6,4,FALSE)</f>
        <v>645</v>
      </c>
      <c r="I19" s="39">
        <f>VLOOKUP(B19,SKUs!$A$2:$E$6,5,FALSE)</f>
        <v>45</v>
      </c>
      <c r="J19" s="2">
        <f>VLOOKUP(D19,'Rates '!$A$2:$G$4,2,FALSE)</f>
        <v>0.12</v>
      </c>
      <c r="K19" s="3">
        <f>VLOOKUP(D19,'Rates '!$A$2:$G$4,3,FALSE)</f>
        <v>40</v>
      </c>
      <c r="L19" s="3">
        <f>VLOOKUP(D19,'Rates '!$A$2:$G$4,4,FALSE)</f>
        <v>60</v>
      </c>
      <c r="M19" s="3">
        <f>VLOOKUP(D19,'Rates '!$A$2:$G$4,5,FALSE)</f>
        <v>60</v>
      </c>
      <c r="N19" s="3">
        <f>VLOOKUP(D19,'Rates '!$A$2:$G$4,6,FALSE)</f>
        <v>35</v>
      </c>
      <c r="O19" s="45">
        <f>VLOOKUP(D19,'Rates '!$A$2:$G$4,7,FALSE)</f>
        <v>0.02</v>
      </c>
      <c r="P19" s="3">
        <f t="shared" si="0"/>
        <v>227.88</v>
      </c>
      <c r="Q19" s="3">
        <f t="shared" si="1"/>
        <v>48.218399999999995</v>
      </c>
      <c r="R19" s="3">
        <f t="shared" si="2"/>
        <v>72.98</v>
      </c>
      <c r="S19" s="3">
        <f t="shared" si="3"/>
        <v>60</v>
      </c>
      <c r="T19" s="20">
        <f t="shared" si="4"/>
        <v>-237.98000000000002</v>
      </c>
    </row>
    <row r="20" spans="1:20" x14ac:dyDescent="0.3">
      <c r="A20" s="12" t="str">
        <f t="shared" si="5"/>
        <v>ORD019</v>
      </c>
      <c r="B20" s="1" t="s">
        <v>13</v>
      </c>
      <c r="C20" s="4" t="str">
        <f>VLOOKUP(B20,SKUs!$A$2:$E$6,2,FALSE)</f>
        <v>Basic Cotton Kurta</v>
      </c>
      <c r="D20" s="1" t="s">
        <v>7</v>
      </c>
      <c r="E20" s="1" t="s">
        <v>36</v>
      </c>
      <c r="F20" s="1" t="s">
        <v>38</v>
      </c>
      <c r="G20" s="39">
        <f>VLOOKUP(Orders!B20,SKUs!$A$2:$D$6,3,FALSE)</f>
        <v>599</v>
      </c>
      <c r="H20" s="39">
        <f>VLOOKUP(B20,SKUs!$A$2:$D$6,4,FALSE)</f>
        <v>210</v>
      </c>
      <c r="I20" s="39">
        <f>VLOOKUP(B20,SKUs!$A$2:$E$6,5,FALSE)</f>
        <v>20</v>
      </c>
      <c r="J20" s="2">
        <f>VLOOKUP(D20,'Rates '!$A$2:$G$4,2,FALSE)</f>
        <v>0.12</v>
      </c>
      <c r="K20" s="3">
        <f>VLOOKUP(D20,'Rates '!$A$2:$G$4,3,FALSE)</f>
        <v>40</v>
      </c>
      <c r="L20" s="3">
        <f>VLOOKUP(D20,'Rates '!$A$2:$G$4,4,FALSE)</f>
        <v>60</v>
      </c>
      <c r="M20" s="3">
        <f>VLOOKUP(D20,'Rates '!$A$2:$G$4,5,FALSE)</f>
        <v>60</v>
      </c>
      <c r="N20" s="3">
        <f>VLOOKUP(D20,'Rates '!$A$2:$G$4,6,FALSE)</f>
        <v>35</v>
      </c>
      <c r="O20" s="45">
        <f>VLOOKUP(D20,'Rates '!$A$2:$G$4,7,FALSE)</f>
        <v>0.02</v>
      </c>
      <c r="P20" s="3">
        <f t="shared" si="0"/>
        <v>71.88</v>
      </c>
      <c r="Q20" s="3">
        <f t="shared" si="1"/>
        <v>20.138399999999997</v>
      </c>
      <c r="R20" s="3">
        <f t="shared" si="2"/>
        <v>0</v>
      </c>
      <c r="S20" s="3">
        <f t="shared" si="3"/>
        <v>0</v>
      </c>
      <c r="T20" s="20">
        <f t="shared" si="4"/>
        <v>176.98160000000001</v>
      </c>
    </row>
    <row r="21" spans="1:20" x14ac:dyDescent="0.3">
      <c r="A21" s="12" t="str">
        <f t="shared" si="5"/>
        <v>ORD020</v>
      </c>
      <c r="B21" s="1" t="s">
        <v>13</v>
      </c>
      <c r="C21" s="4" t="str">
        <f>VLOOKUP(B21,SKUs!$A$2:$E$6,2,FALSE)</f>
        <v>Basic Cotton Kurta</v>
      </c>
      <c r="D21" s="1" t="s">
        <v>7</v>
      </c>
      <c r="E21" s="1" t="s">
        <v>37</v>
      </c>
      <c r="F21" s="1" t="s">
        <v>39</v>
      </c>
      <c r="G21" s="39">
        <f>VLOOKUP(Orders!B21,SKUs!$A$2:$D$6,3,FALSE)</f>
        <v>599</v>
      </c>
      <c r="H21" s="39">
        <f>VLOOKUP(B21,SKUs!$A$2:$D$6,4,FALSE)</f>
        <v>210</v>
      </c>
      <c r="I21" s="39">
        <f>VLOOKUP(B21,SKUs!$A$2:$E$6,5,FALSE)</f>
        <v>20</v>
      </c>
      <c r="J21" s="2">
        <f>VLOOKUP(D21,'Rates '!$A$2:$G$4,2,FALSE)</f>
        <v>0.12</v>
      </c>
      <c r="K21" s="3">
        <f>VLOOKUP(D21,'Rates '!$A$2:$G$4,3,FALSE)</f>
        <v>40</v>
      </c>
      <c r="L21" s="3">
        <f>VLOOKUP(D21,'Rates '!$A$2:$G$4,4,FALSE)</f>
        <v>60</v>
      </c>
      <c r="M21" s="3">
        <f>VLOOKUP(D21,'Rates '!$A$2:$G$4,5,FALSE)</f>
        <v>60</v>
      </c>
      <c r="N21" s="3">
        <f>VLOOKUP(D21,'Rates '!$A$2:$G$4,6,FALSE)</f>
        <v>35</v>
      </c>
      <c r="O21" s="45">
        <f>VLOOKUP(D21,'Rates '!$A$2:$G$4,7,FALSE)</f>
        <v>0.02</v>
      </c>
      <c r="P21" s="3">
        <f t="shared" si="0"/>
        <v>71.88</v>
      </c>
      <c r="Q21" s="3">
        <f t="shared" si="1"/>
        <v>20.138399999999997</v>
      </c>
      <c r="R21" s="3">
        <f t="shared" si="2"/>
        <v>46.980000000000004</v>
      </c>
      <c r="S21" s="3">
        <f t="shared" si="3"/>
        <v>60</v>
      </c>
      <c r="T21" s="20">
        <f t="shared" si="4"/>
        <v>-186.98000000000002</v>
      </c>
    </row>
    <row r="22" spans="1:20" x14ac:dyDescent="0.3">
      <c r="A22" s="12" t="str">
        <f t="shared" si="5"/>
        <v>ORD021</v>
      </c>
      <c r="B22" s="1" t="s">
        <v>15</v>
      </c>
      <c r="C22" s="4" t="str">
        <f>VLOOKUP(B22,SKUs!$A$2:$E$6,2,FALSE)</f>
        <v>Embroidered Kurta</v>
      </c>
      <c r="D22" s="1" t="s">
        <v>8</v>
      </c>
      <c r="E22" s="1" t="s">
        <v>36</v>
      </c>
      <c r="F22" s="1" t="s">
        <v>39</v>
      </c>
      <c r="G22" s="39">
        <f>VLOOKUP(Orders!B22,SKUs!$A$2:$D$6,3,FALSE)</f>
        <v>999</v>
      </c>
      <c r="H22" s="39">
        <f>VLOOKUP(B22,SKUs!$A$2:$D$6,4,FALSE)</f>
        <v>350</v>
      </c>
      <c r="I22" s="39">
        <f>VLOOKUP(B22,SKUs!$A$2:$E$6,5,FALSE)</f>
        <v>30</v>
      </c>
      <c r="J22" s="2">
        <f>VLOOKUP(D22,'Rates '!$A$2:$G$4,2,FALSE)</f>
        <v>0.02</v>
      </c>
      <c r="K22" s="3">
        <f>VLOOKUP(D22,'Rates '!$A$2:$G$4,3,FALSE)</f>
        <v>0</v>
      </c>
      <c r="L22" s="3">
        <f>VLOOKUP(D22,'Rates '!$A$2:$G$4,4,FALSE)</f>
        <v>75</v>
      </c>
      <c r="M22" s="3">
        <f>VLOOKUP(D22,'Rates '!$A$2:$G$4,5,FALSE)</f>
        <v>75</v>
      </c>
      <c r="N22" s="3">
        <f>VLOOKUP(D22,'Rates '!$A$2:$G$4,6,FALSE)</f>
        <v>0</v>
      </c>
      <c r="O22" s="45">
        <f>VLOOKUP(D22,'Rates '!$A$2:$G$4,7,FALSE)</f>
        <v>0</v>
      </c>
      <c r="P22" s="3">
        <f t="shared" si="0"/>
        <v>19.98</v>
      </c>
      <c r="Q22" s="3">
        <f t="shared" si="1"/>
        <v>3.5964</v>
      </c>
      <c r="R22" s="3">
        <f t="shared" si="2"/>
        <v>0</v>
      </c>
      <c r="S22" s="3">
        <f t="shared" si="3"/>
        <v>75</v>
      </c>
      <c r="T22" s="20">
        <f t="shared" si="4"/>
        <v>-180</v>
      </c>
    </row>
    <row r="23" spans="1:20" x14ac:dyDescent="0.3">
      <c r="A23" s="12" t="str">
        <f t="shared" si="5"/>
        <v>ORD022</v>
      </c>
      <c r="B23" s="1" t="s">
        <v>16</v>
      </c>
      <c r="C23" s="4" t="str">
        <f>VLOOKUP(B23,SKUs!$A$2:$E$6,2,FALSE)</f>
        <v>Designer Kurta</v>
      </c>
      <c r="D23" s="1" t="s">
        <v>7</v>
      </c>
      <c r="E23" s="1" t="s">
        <v>37</v>
      </c>
      <c r="F23" s="1" t="s">
        <v>38</v>
      </c>
      <c r="G23" s="39">
        <f>VLOOKUP(Orders!B23,SKUs!$A$2:$D$6,3,FALSE)</f>
        <v>1299</v>
      </c>
      <c r="H23" s="39">
        <f>VLOOKUP(B23,SKUs!$A$2:$D$6,4,FALSE)</f>
        <v>455</v>
      </c>
      <c r="I23" s="39">
        <f>VLOOKUP(B23,SKUs!$A$2:$E$6,5,FALSE)</f>
        <v>40</v>
      </c>
      <c r="J23" s="2">
        <f>VLOOKUP(D23,'Rates '!$A$2:$G$4,2,FALSE)</f>
        <v>0.12</v>
      </c>
      <c r="K23" s="3">
        <f>VLOOKUP(D23,'Rates '!$A$2:$G$4,3,FALSE)</f>
        <v>40</v>
      </c>
      <c r="L23" s="3">
        <f>VLOOKUP(D23,'Rates '!$A$2:$G$4,4,FALSE)</f>
        <v>60</v>
      </c>
      <c r="M23" s="3">
        <f>VLOOKUP(D23,'Rates '!$A$2:$G$4,5,FALSE)</f>
        <v>60</v>
      </c>
      <c r="N23" s="3">
        <f>VLOOKUP(D23,'Rates '!$A$2:$G$4,6,FALSE)</f>
        <v>35</v>
      </c>
      <c r="O23" s="45">
        <f>VLOOKUP(D23,'Rates '!$A$2:$G$4,7,FALSE)</f>
        <v>0.02</v>
      </c>
      <c r="P23" s="3">
        <f t="shared" si="0"/>
        <v>155.88</v>
      </c>
      <c r="Q23" s="3">
        <f t="shared" si="1"/>
        <v>35.258399999999995</v>
      </c>
      <c r="R23" s="3">
        <f t="shared" si="2"/>
        <v>60.980000000000004</v>
      </c>
      <c r="S23" s="3">
        <f t="shared" si="3"/>
        <v>0</v>
      </c>
      <c r="T23" s="20">
        <f t="shared" si="4"/>
        <v>451.88159999999993</v>
      </c>
    </row>
    <row r="24" spans="1:20" x14ac:dyDescent="0.3">
      <c r="A24" s="12" t="str">
        <f t="shared" si="5"/>
        <v>ORD023</v>
      </c>
      <c r="B24" s="1" t="s">
        <v>16</v>
      </c>
      <c r="C24" s="4" t="str">
        <f>VLOOKUP(B24,SKUs!$A$2:$E$6,2,FALSE)</f>
        <v>Designer Kurta</v>
      </c>
      <c r="D24" s="1" t="s">
        <v>8</v>
      </c>
      <c r="E24" s="1" t="s">
        <v>36</v>
      </c>
      <c r="F24" s="1" t="s">
        <v>38</v>
      </c>
      <c r="G24" s="39">
        <f>VLOOKUP(Orders!B24,SKUs!$A$2:$D$6,3,FALSE)</f>
        <v>1299</v>
      </c>
      <c r="H24" s="39">
        <f>VLOOKUP(B24,SKUs!$A$2:$D$6,4,FALSE)</f>
        <v>455</v>
      </c>
      <c r="I24" s="39">
        <f>VLOOKUP(B24,SKUs!$A$2:$E$6,5,FALSE)</f>
        <v>40</v>
      </c>
      <c r="J24" s="2">
        <f>VLOOKUP(D24,'Rates '!$A$2:$G$4,2,FALSE)</f>
        <v>0.02</v>
      </c>
      <c r="K24" s="3">
        <f>VLOOKUP(D24,'Rates '!$A$2:$G$4,3,FALSE)</f>
        <v>0</v>
      </c>
      <c r="L24" s="3">
        <f>VLOOKUP(D24,'Rates '!$A$2:$G$4,4,FALSE)</f>
        <v>75</v>
      </c>
      <c r="M24" s="3">
        <f>VLOOKUP(D24,'Rates '!$A$2:$G$4,5,FALSE)</f>
        <v>75</v>
      </c>
      <c r="N24" s="3">
        <f>VLOOKUP(D24,'Rates '!$A$2:$G$4,6,FALSE)</f>
        <v>0</v>
      </c>
      <c r="O24" s="45">
        <f>VLOOKUP(D24,'Rates '!$A$2:$G$4,7,FALSE)</f>
        <v>0</v>
      </c>
      <c r="P24" s="3">
        <f t="shared" si="0"/>
        <v>25.98</v>
      </c>
      <c r="Q24" s="3">
        <f t="shared" si="1"/>
        <v>4.6764000000000001</v>
      </c>
      <c r="R24" s="3">
        <f t="shared" si="2"/>
        <v>0</v>
      </c>
      <c r="S24" s="3">
        <f t="shared" si="3"/>
        <v>0</v>
      </c>
      <c r="T24" s="20">
        <f t="shared" si="4"/>
        <v>698.34359999999992</v>
      </c>
    </row>
    <row r="25" spans="1:20" x14ac:dyDescent="0.3">
      <c r="A25" s="12" t="str">
        <f t="shared" si="5"/>
        <v>ORD024</v>
      </c>
      <c r="B25" s="1" t="s">
        <v>15</v>
      </c>
      <c r="C25" s="4" t="str">
        <f>VLOOKUP(B25,SKUs!$A$2:$E$6,2,FALSE)</f>
        <v>Embroidered Kurta</v>
      </c>
      <c r="D25" s="1" t="s">
        <v>8</v>
      </c>
      <c r="E25" s="1" t="s">
        <v>36</v>
      </c>
      <c r="F25" s="1" t="s">
        <v>38</v>
      </c>
      <c r="G25" s="39">
        <f>VLOOKUP(Orders!B25,SKUs!$A$2:$D$6,3,FALSE)</f>
        <v>999</v>
      </c>
      <c r="H25" s="39">
        <f>VLOOKUP(B25,SKUs!$A$2:$D$6,4,FALSE)</f>
        <v>350</v>
      </c>
      <c r="I25" s="39">
        <f>VLOOKUP(B25,SKUs!$A$2:$E$6,5,FALSE)</f>
        <v>30</v>
      </c>
      <c r="J25" s="2">
        <f>VLOOKUP(D25,'Rates '!$A$2:$G$4,2,FALSE)</f>
        <v>0.02</v>
      </c>
      <c r="K25" s="3">
        <f>VLOOKUP(D25,'Rates '!$A$2:$G$4,3,FALSE)</f>
        <v>0</v>
      </c>
      <c r="L25" s="3">
        <f>VLOOKUP(D25,'Rates '!$A$2:$G$4,4,FALSE)</f>
        <v>75</v>
      </c>
      <c r="M25" s="3">
        <f>VLOOKUP(D25,'Rates '!$A$2:$G$4,5,FALSE)</f>
        <v>75</v>
      </c>
      <c r="N25" s="3">
        <f>VLOOKUP(D25,'Rates '!$A$2:$G$4,6,FALSE)</f>
        <v>0</v>
      </c>
      <c r="O25" s="45">
        <f>VLOOKUP(D25,'Rates '!$A$2:$G$4,7,FALSE)</f>
        <v>0</v>
      </c>
      <c r="P25" s="3">
        <f t="shared" si="0"/>
        <v>19.98</v>
      </c>
      <c r="Q25" s="3">
        <f t="shared" si="1"/>
        <v>3.5964</v>
      </c>
      <c r="R25" s="3">
        <f t="shared" si="2"/>
        <v>0</v>
      </c>
      <c r="S25" s="3">
        <f t="shared" si="3"/>
        <v>0</v>
      </c>
      <c r="T25" s="20">
        <f t="shared" si="4"/>
        <v>520.42359999999996</v>
      </c>
    </row>
    <row r="26" spans="1:20" x14ac:dyDescent="0.3">
      <c r="A26" s="12" t="str">
        <f t="shared" si="5"/>
        <v>ORD025</v>
      </c>
      <c r="B26" s="1" t="s">
        <v>14</v>
      </c>
      <c r="C26" s="4" t="str">
        <f>VLOOKUP(B26,SKUs!$A$2:$E$6,2,FALSE)</f>
        <v>Printed Kurta</v>
      </c>
      <c r="D26" s="1" t="s">
        <v>6</v>
      </c>
      <c r="E26" s="1" t="s">
        <v>36</v>
      </c>
      <c r="F26" s="1" t="s">
        <v>39</v>
      </c>
      <c r="G26" s="39">
        <f>VLOOKUP(Orders!B26,SKUs!$A$2:$D$6,3,FALSE)</f>
        <v>799</v>
      </c>
      <c r="H26" s="39">
        <f>VLOOKUP(B26,SKUs!$A$2:$D$6,4,FALSE)</f>
        <v>280</v>
      </c>
      <c r="I26" s="39">
        <f>VLOOKUP(B26,SKUs!$A$2:$E$6,5,FALSE)</f>
        <v>25</v>
      </c>
      <c r="J26" s="2">
        <f>VLOOKUP(D26,'Rates '!$A$2:$G$4,2,FALSE)</f>
        <v>0.22</v>
      </c>
      <c r="K26" s="3">
        <f>VLOOKUP(D26,'Rates '!$A$2:$G$4,3,FALSE)</f>
        <v>70</v>
      </c>
      <c r="L26" s="3">
        <f>VLOOKUP(D26,'Rates '!$A$2:$G$4,4,FALSE)</f>
        <v>70</v>
      </c>
      <c r="M26" s="3">
        <f>VLOOKUP(D26,'Rates '!$A$2:$G$4,5,FALSE)</f>
        <v>70</v>
      </c>
      <c r="N26" s="3">
        <f>VLOOKUP(D26,'Rates '!$A$2:$G$4,6,FALSE)</f>
        <v>35</v>
      </c>
      <c r="O26" s="45">
        <f>VLOOKUP(D26,'Rates '!$A$2:$G$4,7,FALSE)</f>
        <v>0.02</v>
      </c>
      <c r="P26" s="3">
        <f t="shared" si="0"/>
        <v>175.78</v>
      </c>
      <c r="Q26" s="3">
        <f t="shared" si="1"/>
        <v>44.240400000000001</v>
      </c>
      <c r="R26" s="3">
        <f t="shared" si="2"/>
        <v>0</v>
      </c>
      <c r="S26" s="3">
        <f t="shared" si="3"/>
        <v>70</v>
      </c>
      <c r="T26" s="20">
        <f t="shared" si="4"/>
        <v>-165</v>
      </c>
    </row>
    <row r="27" spans="1:20" x14ac:dyDescent="0.3">
      <c r="A27" s="12" t="str">
        <f t="shared" si="5"/>
        <v>ORD026</v>
      </c>
      <c r="B27" s="1" t="s">
        <v>14</v>
      </c>
      <c r="C27" s="4" t="str">
        <f>VLOOKUP(B27,SKUs!$A$2:$E$6,2,FALSE)</f>
        <v>Printed Kurta</v>
      </c>
      <c r="D27" s="1" t="s">
        <v>7</v>
      </c>
      <c r="E27" s="1" t="s">
        <v>36</v>
      </c>
      <c r="F27" s="1" t="s">
        <v>38</v>
      </c>
      <c r="G27" s="39">
        <f>VLOOKUP(Orders!B27,SKUs!$A$2:$D$6,3,FALSE)</f>
        <v>799</v>
      </c>
      <c r="H27" s="39">
        <f>VLOOKUP(B27,SKUs!$A$2:$D$6,4,FALSE)</f>
        <v>280</v>
      </c>
      <c r="I27" s="39">
        <f>VLOOKUP(B27,SKUs!$A$2:$E$6,5,FALSE)</f>
        <v>25</v>
      </c>
      <c r="J27" s="2">
        <f>VLOOKUP(D27,'Rates '!$A$2:$G$4,2,FALSE)</f>
        <v>0.12</v>
      </c>
      <c r="K27" s="3">
        <f>VLOOKUP(D27,'Rates '!$A$2:$G$4,3,FALSE)</f>
        <v>40</v>
      </c>
      <c r="L27" s="3">
        <f>VLOOKUP(D27,'Rates '!$A$2:$G$4,4,FALSE)</f>
        <v>60</v>
      </c>
      <c r="M27" s="3">
        <f>VLOOKUP(D27,'Rates '!$A$2:$G$4,5,FALSE)</f>
        <v>60</v>
      </c>
      <c r="N27" s="3">
        <f>VLOOKUP(D27,'Rates '!$A$2:$G$4,6,FALSE)</f>
        <v>35</v>
      </c>
      <c r="O27" s="45">
        <f>VLOOKUP(D27,'Rates '!$A$2:$G$4,7,FALSE)</f>
        <v>0.02</v>
      </c>
      <c r="P27" s="3">
        <f t="shared" si="0"/>
        <v>95.88</v>
      </c>
      <c r="Q27" s="3">
        <f t="shared" si="1"/>
        <v>24.458399999999997</v>
      </c>
      <c r="R27" s="3">
        <f t="shared" si="2"/>
        <v>0</v>
      </c>
      <c r="S27" s="3">
        <f t="shared" si="3"/>
        <v>0</v>
      </c>
      <c r="T27" s="20">
        <f t="shared" si="4"/>
        <v>273.66160000000002</v>
      </c>
    </row>
    <row r="28" spans="1:20" x14ac:dyDescent="0.3">
      <c r="A28" s="12" t="str">
        <f t="shared" si="5"/>
        <v>ORD027</v>
      </c>
      <c r="B28" s="1" t="s">
        <v>15</v>
      </c>
      <c r="C28" s="4" t="str">
        <f>VLOOKUP(B28,SKUs!$A$2:$E$6,2,FALSE)</f>
        <v>Embroidered Kurta</v>
      </c>
      <c r="D28" s="1" t="s">
        <v>6</v>
      </c>
      <c r="E28" s="1" t="s">
        <v>36</v>
      </c>
      <c r="F28" s="1" t="s">
        <v>38</v>
      </c>
      <c r="G28" s="39">
        <f>VLOOKUP(Orders!B28,SKUs!$A$2:$D$6,3,FALSE)</f>
        <v>999</v>
      </c>
      <c r="H28" s="39">
        <f>VLOOKUP(B28,SKUs!$A$2:$D$6,4,FALSE)</f>
        <v>350</v>
      </c>
      <c r="I28" s="39">
        <f>VLOOKUP(B28,SKUs!$A$2:$E$6,5,FALSE)</f>
        <v>30</v>
      </c>
      <c r="J28" s="2">
        <f>VLOOKUP(D28,'Rates '!$A$2:$G$4,2,FALSE)</f>
        <v>0.22</v>
      </c>
      <c r="K28" s="3">
        <f>VLOOKUP(D28,'Rates '!$A$2:$G$4,3,FALSE)</f>
        <v>70</v>
      </c>
      <c r="L28" s="3">
        <f>VLOOKUP(D28,'Rates '!$A$2:$G$4,4,FALSE)</f>
        <v>70</v>
      </c>
      <c r="M28" s="3">
        <f>VLOOKUP(D28,'Rates '!$A$2:$G$4,5,FALSE)</f>
        <v>70</v>
      </c>
      <c r="N28" s="3">
        <f>VLOOKUP(D28,'Rates '!$A$2:$G$4,6,FALSE)</f>
        <v>35</v>
      </c>
      <c r="O28" s="45">
        <f>VLOOKUP(D28,'Rates '!$A$2:$G$4,7,FALSE)</f>
        <v>0.02</v>
      </c>
      <c r="P28" s="3">
        <f t="shared" si="0"/>
        <v>219.78</v>
      </c>
      <c r="Q28" s="3">
        <f t="shared" si="1"/>
        <v>52.160399999999996</v>
      </c>
      <c r="R28" s="3">
        <f t="shared" si="2"/>
        <v>0</v>
      </c>
      <c r="S28" s="3">
        <f t="shared" si="3"/>
        <v>0</v>
      </c>
      <c r="T28" s="20">
        <f t="shared" si="4"/>
        <v>207.05960000000005</v>
      </c>
    </row>
    <row r="29" spans="1:20" x14ac:dyDescent="0.3">
      <c r="A29" s="12" t="str">
        <f t="shared" si="5"/>
        <v>ORD028</v>
      </c>
      <c r="B29" s="1" t="s">
        <v>16</v>
      </c>
      <c r="C29" s="4" t="str">
        <f>VLOOKUP(B29,SKUs!$A$2:$E$6,2,FALSE)</f>
        <v>Designer Kurta</v>
      </c>
      <c r="D29" s="1" t="s">
        <v>7</v>
      </c>
      <c r="E29" s="1" t="s">
        <v>37</v>
      </c>
      <c r="F29" s="1" t="s">
        <v>38</v>
      </c>
      <c r="G29" s="39">
        <f>VLOOKUP(Orders!B29,SKUs!$A$2:$D$6,3,FALSE)</f>
        <v>1299</v>
      </c>
      <c r="H29" s="39">
        <f>VLOOKUP(B29,SKUs!$A$2:$D$6,4,FALSE)</f>
        <v>455</v>
      </c>
      <c r="I29" s="39">
        <f>VLOOKUP(B29,SKUs!$A$2:$E$6,5,FALSE)</f>
        <v>40</v>
      </c>
      <c r="J29" s="2">
        <f>VLOOKUP(D29,'Rates '!$A$2:$G$4,2,FALSE)</f>
        <v>0.12</v>
      </c>
      <c r="K29" s="3">
        <f>VLOOKUP(D29,'Rates '!$A$2:$G$4,3,FALSE)</f>
        <v>40</v>
      </c>
      <c r="L29" s="3">
        <f>VLOOKUP(D29,'Rates '!$A$2:$G$4,4,FALSE)</f>
        <v>60</v>
      </c>
      <c r="M29" s="3">
        <f>VLOOKUP(D29,'Rates '!$A$2:$G$4,5,FALSE)</f>
        <v>60</v>
      </c>
      <c r="N29" s="3">
        <f>VLOOKUP(D29,'Rates '!$A$2:$G$4,6,FALSE)</f>
        <v>35</v>
      </c>
      <c r="O29" s="45">
        <f>VLOOKUP(D29,'Rates '!$A$2:$G$4,7,FALSE)</f>
        <v>0.02</v>
      </c>
      <c r="P29" s="3">
        <f t="shared" si="0"/>
        <v>155.88</v>
      </c>
      <c r="Q29" s="3">
        <f t="shared" si="1"/>
        <v>35.258399999999995</v>
      </c>
      <c r="R29" s="3">
        <f t="shared" si="2"/>
        <v>60.980000000000004</v>
      </c>
      <c r="S29" s="3">
        <f t="shared" si="3"/>
        <v>0</v>
      </c>
      <c r="T29" s="20">
        <f t="shared" si="4"/>
        <v>451.88159999999993</v>
      </c>
    </row>
    <row r="30" spans="1:20" x14ac:dyDescent="0.3">
      <c r="A30" s="12" t="str">
        <f t="shared" si="5"/>
        <v>ORD029</v>
      </c>
      <c r="B30" s="1" t="s">
        <v>17</v>
      </c>
      <c r="C30" s="4" t="str">
        <f>VLOOKUP(B30,SKUs!$A$2:$E$6,2,FALSE)</f>
        <v>Premium Silk Kurta</v>
      </c>
      <c r="D30" s="1" t="s">
        <v>8</v>
      </c>
      <c r="E30" s="1" t="s">
        <v>36</v>
      </c>
      <c r="F30" s="1" t="s">
        <v>38</v>
      </c>
      <c r="G30" s="39">
        <f>VLOOKUP(Orders!B30,SKUs!$A$2:$D$6,3,FALSE)</f>
        <v>1899</v>
      </c>
      <c r="H30" s="39">
        <f>VLOOKUP(B30,SKUs!$A$2:$D$6,4,FALSE)</f>
        <v>645</v>
      </c>
      <c r="I30" s="39">
        <f>VLOOKUP(B30,SKUs!$A$2:$E$6,5,FALSE)</f>
        <v>45</v>
      </c>
      <c r="J30" s="2">
        <f>VLOOKUP(D30,'Rates '!$A$2:$G$4,2,FALSE)</f>
        <v>0.02</v>
      </c>
      <c r="K30" s="3">
        <f>VLOOKUP(D30,'Rates '!$A$2:$G$4,3,FALSE)</f>
        <v>0</v>
      </c>
      <c r="L30" s="3">
        <f>VLOOKUP(D30,'Rates '!$A$2:$G$4,4,FALSE)</f>
        <v>75</v>
      </c>
      <c r="M30" s="3">
        <f>VLOOKUP(D30,'Rates '!$A$2:$G$4,5,FALSE)</f>
        <v>75</v>
      </c>
      <c r="N30" s="3">
        <f>VLOOKUP(D30,'Rates '!$A$2:$G$4,6,FALSE)</f>
        <v>0</v>
      </c>
      <c r="O30" s="45">
        <f>VLOOKUP(D30,'Rates '!$A$2:$G$4,7,FALSE)</f>
        <v>0</v>
      </c>
      <c r="P30" s="3">
        <f t="shared" si="0"/>
        <v>37.980000000000004</v>
      </c>
      <c r="Q30" s="3">
        <f t="shared" si="1"/>
        <v>6.8364000000000003</v>
      </c>
      <c r="R30" s="3">
        <f t="shared" si="2"/>
        <v>0</v>
      </c>
      <c r="S30" s="3">
        <f t="shared" si="3"/>
        <v>0</v>
      </c>
      <c r="T30" s="20">
        <f t="shared" si="4"/>
        <v>1089.1836000000001</v>
      </c>
    </row>
    <row r="31" spans="1:20" x14ac:dyDescent="0.3">
      <c r="A31" s="12" t="str">
        <f t="shared" si="5"/>
        <v>ORD030</v>
      </c>
      <c r="B31" s="1" t="s">
        <v>13</v>
      </c>
      <c r="C31" s="4" t="str">
        <f>VLOOKUP(B31,SKUs!$A$2:$E$6,2,FALSE)</f>
        <v>Basic Cotton Kurta</v>
      </c>
      <c r="D31" s="1" t="s">
        <v>6</v>
      </c>
      <c r="E31" s="1" t="s">
        <v>36</v>
      </c>
      <c r="F31" s="1" t="s">
        <v>39</v>
      </c>
      <c r="G31" s="39">
        <f>VLOOKUP(Orders!B31,SKUs!$A$2:$D$6,3,FALSE)</f>
        <v>599</v>
      </c>
      <c r="H31" s="39">
        <f>VLOOKUP(B31,SKUs!$A$2:$D$6,4,FALSE)</f>
        <v>210</v>
      </c>
      <c r="I31" s="39">
        <f>VLOOKUP(B31,SKUs!$A$2:$E$6,5,FALSE)</f>
        <v>20</v>
      </c>
      <c r="J31" s="2">
        <f>VLOOKUP(D31,'Rates '!$A$2:$G$4,2,FALSE)</f>
        <v>0.22</v>
      </c>
      <c r="K31" s="3">
        <f>VLOOKUP(D31,'Rates '!$A$2:$G$4,3,FALSE)</f>
        <v>70</v>
      </c>
      <c r="L31" s="3">
        <f>VLOOKUP(D31,'Rates '!$A$2:$G$4,4,FALSE)</f>
        <v>70</v>
      </c>
      <c r="M31" s="3">
        <f>VLOOKUP(D31,'Rates '!$A$2:$G$4,5,FALSE)</f>
        <v>70</v>
      </c>
      <c r="N31" s="3">
        <f>VLOOKUP(D31,'Rates '!$A$2:$G$4,6,FALSE)</f>
        <v>35</v>
      </c>
      <c r="O31" s="45">
        <f>VLOOKUP(D31,'Rates '!$A$2:$G$4,7,FALSE)</f>
        <v>0.02</v>
      </c>
      <c r="P31" s="3">
        <f t="shared" si="0"/>
        <v>131.78</v>
      </c>
      <c r="Q31" s="3">
        <f t="shared" si="1"/>
        <v>36.320399999999999</v>
      </c>
      <c r="R31" s="3">
        <f t="shared" si="2"/>
        <v>0</v>
      </c>
      <c r="S31" s="3">
        <f t="shared" si="3"/>
        <v>70</v>
      </c>
      <c r="T31" s="20">
        <f t="shared" si="4"/>
        <v>-160</v>
      </c>
    </row>
    <row r="32" spans="1:20" x14ac:dyDescent="0.3">
      <c r="A32" s="12" t="str">
        <f t="shared" si="5"/>
        <v>ORD031</v>
      </c>
      <c r="B32" s="1" t="s">
        <v>17</v>
      </c>
      <c r="C32" s="4" t="str">
        <f>VLOOKUP(B32,SKUs!$A$2:$E$6,2,FALSE)</f>
        <v>Premium Silk Kurta</v>
      </c>
      <c r="D32" s="1" t="s">
        <v>7</v>
      </c>
      <c r="E32" s="1" t="s">
        <v>36</v>
      </c>
      <c r="F32" s="1" t="s">
        <v>38</v>
      </c>
      <c r="G32" s="39">
        <f>VLOOKUP(Orders!B32,SKUs!$A$2:$D$6,3,FALSE)</f>
        <v>1899</v>
      </c>
      <c r="H32" s="39">
        <f>VLOOKUP(B32,SKUs!$A$2:$D$6,4,FALSE)</f>
        <v>645</v>
      </c>
      <c r="I32" s="39">
        <f>VLOOKUP(B32,SKUs!$A$2:$E$6,5,FALSE)</f>
        <v>45</v>
      </c>
      <c r="J32" s="2">
        <f>VLOOKUP(D32,'Rates '!$A$2:$G$4,2,FALSE)</f>
        <v>0.12</v>
      </c>
      <c r="K32" s="3">
        <f>VLOOKUP(D32,'Rates '!$A$2:$G$4,3,FALSE)</f>
        <v>40</v>
      </c>
      <c r="L32" s="3">
        <f>VLOOKUP(D32,'Rates '!$A$2:$G$4,4,FALSE)</f>
        <v>60</v>
      </c>
      <c r="M32" s="3">
        <f>VLOOKUP(D32,'Rates '!$A$2:$G$4,5,FALSE)</f>
        <v>60</v>
      </c>
      <c r="N32" s="3">
        <f>VLOOKUP(D32,'Rates '!$A$2:$G$4,6,FALSE)</f>
        <v>35</v>
      </c>
      <c r="O32" s="45">
        <f>VLOOKUP(D32,'Rates '!$A$2:$G$4,7,FALSE)</f>
        <v>0.02</v>
      </c>
      <c r="P32" s="3">
        <f t="shared" si="0"/>
        <v>227.88</v>
      </c>
      <c r="Q32" s="3">
        <f t="shared" si="1"/>
        <v>48.218399999999995</v>
      </c>
      <c r="R32" s="3">
        <f t="shared" si="2"/>
        <v>0</v>
      </c>
      <c r="S32" s="3">
        <f t="shared" si="3"/>
        <v>0</v>
      </c>
      <c r="T32" s="20">
        <f t="shared" si="4"/>
        <v>832.90159999999992</v>
      </c>
    </row>
    <row r="33" spans="1:20" x14ac:dyDescent="0.3">
      <c r="A33" s="12" t="str">
        <f t="shared" si="5"/>
        <v>ORD032</v>
      </c>
      <c r="B33" s="1" t="s">
        <v>15</v>
      </c>
      <c r="C33" s="4" t="str">
        <f>VLOOKUP(B33,SKUs!$A$2:$E$6,2,FALSE)</f>
        <v>Embroidered Kurta</v>
      </c>
      <c r="D33" s="1" t="s">
        <v>8</v>
      </c>
      <c r="E33" s="1" t="s">
        <v>36</v>
      </c>
      <c r="F33" s="1" t="s">
        <v>39</v>
      </c>
      <c r="G33" s="39">
        <f>VLOOKUP(Orders!B33,SKUs!$A$2:$D$6,3,FALSE)</f>
        <v>999</v>
      </c>
      <c r="H33" s="39">
        <f>VLOOKUP(B33,SKUs!$A$2:$D$6,4,FALSE)</f>
        <v>350</v>
      </c>
      <c r="I33" s="39">
        <f>VLOOKUP(B33,SKUs!$A$2:$E$6,5,FALSE)</f>
        <v>30</v>
      </c>
      <c r="J33" s="2">
        <f>VLOOKUP(D33,'Rates '!$A$2:$G$4,2,FALSE)</f>
        <v>0.02</v>
      </c>
      <c r="K33" s="3">
        <f>VLOOKUP(D33,'Rates '!$A$2:$G$4,3,FALSE)</f>
        <v>0</v>
      </c>
      <c r="L33" s="3">
        <f>VLOOKUP(D33,'Rates '!$A$2:$G$4,4,FALSE)</f>
        <v>75</v>
      </c>
      <c r="M33" s="3">
        <f>VLOOKUP(D33,'Rates '!$A$2:$G$4,5,FALSE)</f>
        <v>75</v>
      </c>
      <c r="N33" s="3">
        <f>VLOOKUP(D33,'Rates '!$A$2:$G$4,6,FALSE)</f>
        <v>0</v>
      </c>
      <c r="O33" s="45">
        <f>VLOOKUP(D33,'Rates '!$A$2:$G$4,7,FALSE)</f>
        <v>0</v>
      </c>
      <c r="P33" s="3">
        <f t="shared" si="0"/>
        <v>19.98</v>
      </c>
      <c r="Q33" s="3">
        <f t="shared" si="1"/>
        <v>3.5964</v>
      </c>
      <c r="R33" s="3">
        <f t="shared" si="2"/>
        <v>0</v>
      </c>
      <c r="S33" s="3">
        <f t="shared" si="3"/>
        <v>75</v>
      </c>
      <c r="T33" s="20">
        <f t="shared" si="4"/>
        <v>-180</v>
      </c>
    </row>
    <row r="34" spans="1:20" x14ac:dyDescent="0.3">
      <c r="A34" s="12" t="str">
        <f t="shared" si="5"/>
        <v>ORD033</v>
      </c>
      <c r="B34" s="1" t="s">
        <v>15</v>
      </c>
      <c r="C34" s="4" t="str">
        <f>VLOOKUP(B34,SKUs!$A$2:$E$6,2,FALSE)</f>
        <v>Embroidered Kurta</v>
      </c>
      <c r="D34" s="1" t="s">
        <v>7</v>
      </c>
      <c r="E34" s="1" t="s">
        <v>36</v>
      </c>
      <c r="F34" s="1" t="s">
        <v>39</v>
      </c>
      <c r="G34" s="39">
        <f>VLOOKUP(Orders!B34,SKUs!$A$2:$D$6,3,FALSE)</f>
        <v>999</v>
      </c>
      <c r="H34" s="39">
        <f>VLOOKUP(B34,SKUs!$A$2:$D$6,4,FALSE)</f>
        <v>350</v>
      </c>
      <c r="I34" s="39">
        <f>VLOOKUP(B34,SKUs!$A$2:$E$6,5,FALSE)</f>
        <v>30</v>
      </c>
      <c r="J34" s="2">
        <f>VLOOKUP(D34,'Rates '!$A$2:$G$4,2,FALSE)</f>
        <v>0.12</v>
      </c>
      <c r="K34" s="3">
        <f>VLOOKUP(D34,'Rates '!$A$2:$G$4,3,FALSE)</f>
        <v>40</v>
      </c>
      <c r="L34" s="3">
        <f>VLOOKUP(D34,'Rates '!$A$2:$G$4,4,FALSE)</f>
        <v>60</v>
      </c>
      <c r="M34" s="3">
        <f>VLOOKUP(D34,'Rates '!$A$2:$G$4,5,FALSE)</f>
        <v>60</v>
      </c>
      <c r="N34" s="3">
        <f>VLOOKUP(D34,'Rates '!$A$2:$G$4,6,FALSE)</f>
        <v>35</v>
      </c>
      <c r="O34" s="45">
        <f>VLOOKUP(D34,'Rates '!$A$2:$G$4,7,FALSE)</f>
        <v>0.02</v>
      </c>
      <c r="P34" s="3">
        <f t="shared" si="0"/>
        <v>119.88</v>
      </c>
      <c r="Q34" s="3">
        <f t="shared" si="1"/>
        <v>28.778399999999998</v>
      </c>
      <c r="R34" s="3">
        <f t="shared" si="2"/>
        <v>0</v>
      </c>
      <c r="S34" s="3">
        <f t="shared" si="3"/>
        <v>60</v>
      </c>
      <c r="T34" s="20">
        <f t="shared" si="4"/>
        <v>-150</v>
      </c>
    </row>
    <row r="35" spans="1:20" x14ac:dyDescent="0.3">
      <c r="A35" s="12" t="str">
        <f t="shared" si="5"/>
        <v>ORD034</v>
      </c>
      <c r="B35" s="1" t="s">
        <v>13</v>
      </c>
      <c r="C35" s="4" t="str">
        <f>VLOOKUP(B35,SKUs!$A$2:$E$6,2,FALSE)</f>
        <v>Basic Cotton Kurta</v>
      </c>
      <c r="D35" s="1" t="s">
        <v>8</v>
      </c>
      <c r="E35" s="1" t="s">
        <v>36</v>
      </c>
      <c r="F35" s="1" t="s">
        <v>38</v>
      </c>
      <c r="G35" s="39">
        <f>VLOOKUP(Orders!B35,SKUs!$A$2:$D$6,3,FALSE)</f>
        <v>599</v>
      </c>
      <c r="H35" s="39">
        <f>VLOOKUP(B35,SKUs!$A$2:$D$6,4,FALSE)</f>
        <v>210</v>
      </c>
      <c r="I35" s="39">
        <f>VLOOKUP(B35,SKUs!$A$2:$E$6,5,FALSE)</f>
        <v>20</v>
      </c>
      <c r="J35" s="2">
        <f>VLOOKUP(D35,'Rates '!$A$2:$G$4,2,FALSE)</f>
        <v>0.02</v>
      </c>
      <c r="K35" s="3">
        <f>VLOOKUP(D35,'Rates '!$A$2:$G$4,3,FALSE)</f>
        <v>0</v>
      </c>
      <c r="L35" s="3">
        <f>VLOOKUP(D35,'Rates '!$A$2:$G$4,4,FALSE)</f>
        <v>75</v>
      </c>
      <c r="M35" s="3">
        <f>VLOOKUP(D35,'Rates '!$A$2:$G$4,5,FALSE)</f>
        <v>75</v>
      </c>
      <c r="N35" s="3">
        <f>VLOOKUP(D35,'Rates '!$A$2:$G$4,6,FALSE)</f>
        <v>0</v>
      </c>
      <c r="O35" s="45">
        <f>VLOOKUP(D35,'Rates '!$A$2:$G$4,7,FALSE)</f>
        <v>0</v>
      </c>
      <c r="P35" s="3">
        <f t="shared" si="0"/>
        <v>11.98</v>
      </c>
      <c r="Q35" s="3">
        <f t="shared" si="1"/>
        <v>2.1564000000000001</v>
      </c>
      <c r="R35" s="3">
        <f t="shared" si="2"/>
        <v>0</v>
      </c>
      <c r="S35" s="3">
        <f t="shared" si="3"/>
        <v>0</v>
      </c>
      <c r="T35" s="20">
        <f t="shared" si="4"/>
        <v>279.86359999999996</v>
      </c>
    </row>
    <row r="36" spans="1:20" x14ac:dyDescent="0.3">
      <c r="A36" s="12" t="str">
        <f t="shared" si="5"/>
        <v>ORD035</v>
      </c>
      <c r="B36" s="1" t="s">
        <v>14</v>
      </c>
      <c r="C36" s="4" t="str">
        <f>VLOOKUP(B36,SKUs!$A$2:$E$6,2,FALSE)</f>
        <v>Printed Kurta</v>
      </c>
      <c r="D36" s="1" t="s">
        <v>6</v>
      </c>
      <c r="E36" s="1" t="s">
        <v>36</v>
      </c>
      <c r="F36" s="1" t="s">
        <v>38</v>
      </c>
      <c r="G36" s="39">
        <f>VLOOKUP(Orders!B36,SKUs!$A$2:$D$6,3,FALSE)</f>
        <v>799</v>
      </c>
      <c r="H36" s="39">
        <f>VLOOKUP(B36,SKUs!$A$2:$D$6,4,FALSE)</f>
        <v>280</v>
      </c>
      <c r="I36" s="39">
        <f>VLOOKUP(B36,SKUs!$A$2:$E$6,5,FALSE)</f>
        <v>25</v>
      </c>
      <c r="J36" s="2">
        <f>VLOOKUP(D36,'Rates '!$A$2:$G$4,2,FALSE)</f>
        <v>0.22</v>
      </c>
      <c r="K36" s="3">
        <f>VLOOKUP(D36,'Rates '!$A$2:$G$4,3,FALSE)</f>
        <v>70</v>
      </c>
      <c r="L36" s="3">
        <f>VLOOKUP(D36,'Rates '!$A$2:$G$4,4,FALSE)</f>
        <v>70</v>
      </c>
      <c r="M36" s="3">
        <f>VLOOKUP(D36,'Rates '!$A$2:$G$4,5,FALSE)</f>
        <v>70</v>
      </c>
      <c r="N36" s="3">
        <f>VLOOKUP(D36,'Rates '!$A$2:$G$4,6,FALSE)</f>
        <v>35</v>
      </c>
      <c r="O36" s="45">
        <f>VLOOKUP(D36,'Rates '!$A$2:$G$4,7,FALSE)</f>
        <v>0.02</v>
      </c>
      <c r="P36" s="3">
        <f t="shared" si="0"/>
        <v>175.78</v>
      </c>
      <c r="Q36" s="3">
        <f t="shared" si="1"/>
        <v>44.240400000000001</v>
      </c>
      <c r="R36" s="3">
        <f t="shared" si="2"/>
        <v>0</v>
      </c>
      <c r="S36" s="3">
        <f t="shared" si="3"/>
        <v>0</v>
      </c>
      <c r="T36" s="20">
        <f t="shared" si="4"/>
        <v>133.9796</v>
      </c>
    </row>
    <row r="37" spans="1:20" x14ac:dyDescent="0.3">
      <c r="A37" s="12" t="str">
        <f t="shared" si="5"/>
        <v>ORD036</v>
      </c>
      <c r="B37" s="1" t="s">
        <v>17</v>
      </c>
      <c r="C37" s="4" t="str">
        <f>VLOOKUP(B37,SKUs!$A$2:$E$6,2,FALSE)</f>
        <v>Premium Silk Kurta</v>
      </c>
      <c r="D37" s="1" t="s">
        <v>6</v>
      </c>
      <c r="E37" s="1" t="s">
        <v>36</v>
      </c>
      <c r="F37" s="1" t="s">
        <v>38</v>
      </c>
      <c r="G37" s="39">
        <f>VLOOKUP(Orders!B37,SKUs!$A$2:$D$6,3,FALSE)</f>
        <v>1899</v>
      </c>
      <c r="H37" s="39">
        <f>VLOOKUP(B37,SKUs!$A$2:$D$6,4,FALSE)</f>
        <v>645</v>
      </c>
      <c r="I37" s="39">
        <f>VLOOKUP(B37,SKUs!$A$2:$E$6,5,FALSE)</f>
        <v>45</v>
      </c>
      <c r="J37" s="2">
        <f>VLOOKUP(D37,'Rates '!$A$2:$G$4,2,FALSE)</f>
        <v>0.22</v>
      </c>
      <c r="K37" s="3">
        <f>VLOOKUP(D37,'Rates '!$A$2:$G$4,3,FALSE)</f>
        <v>70</v>
      </c>
      <c r="L37" s="3">
        <f>VLOOKUP(D37,'Rates '!$A$2:$G$4,4,FALSE)</f>
        <v>70</v>
      </c>
      <c r="M37" s="3">
        <f>VLOOKUP(D37,'Rates '!$A$2:$G$4,5,FALSE)</f>
        <v>70</v>
      </c>
      <c r="N37" s="3">
        <f>VLOOKUP(D37,'Rates '!$A$2:$G$4,6,FALSE)</f>
        <v>35</v>
      </c>
      <c r="O37" s="45">
        <f>VLOOKUP(D37,'Rates '!$A$2:$G$4,7,FALSE)</f>
        <v>0.02</v>
      </c>
      <c r="P37" s="3">
        <f t="shared" si="0"/>
        <v>417.78000000000003</v>
      </c>
      <c r="Q37" s="3">
        <f t="shared" si="1"/>
        <v>87.800399999999996</v>
      </c>
      <c r="R37" s="3">
        <f t="shared" si="2"/>
        <v>0</v>
      </c>
      <c r="S37" s="3">
        <f t="shared" si="3"/>
        <v>0</v>
      </c>
      <c r="T37" s="20">
        <f t="shared" si="4"/>
        <v>563.41959999999995</v>
      </c>
    </row>
    <row r="38" spans="1:20" x14ac:dyDescent="0.3">
      <c r="A38" s="12" t="str">
        <f t="shared" si="5"/>
        <v>ORD037</v>
      </c>
      <c r="B38" s="1" t="s">
        <v>17</v>
      </c>
      <c r="C38" s="4" t="str">
        <f>VLOOKUP(B38,SKUs!$A$2:$E$6,2,FALSE)</f>
        <v>Premium Silk Kurta</v>
      </c>
      <c r="D38" s="1" t="s">
        <v>8</v>
      </c>
      <c r="E38" s="1" t="s">
        <v>36</v>
      </c>
      <c r="F38" s="1" t="s">
        <v>39</v>
      </c>
      <c r="G38" s="39">
        <f>VLOOKUP(Orders!B38,SKUs!$A$2:$D$6,3,FALSE)</f>
        <v>1899</v>
      </c>
      <c r="H38" s="39">
        <f>VLOOKUP(B38,SKUs!$A$2:$D$6,4,FALSE)</f>
        <v>645</v>
      </c>
      <c r="I38" s="39">
        <f>VLOOKUP(B38,SKUs!$A$2:$E$6,5,FALSE)</f>
        <v>45</v>
      </c>
      <c r="J38" s="2">
        <f>VLOOKUP(D38,'Rates '!$A$2:$G$4,2,FALSE)</f>
        <v>0.02</v>
      </c>
      <c r="K38" s="3">
        <f>VLOOKUP(D38,'Rates '!$A$2:$G$4,3,FALSE)</f>
        <v>0</v>
      </c>
      <c r="L38" s="3">
        <f>VLOOKUP(D38,'Rates '!$A$2:$G$4,4,FALSE)</f>
        <v>75</v>
      </c>
      <c r="M38" s="3">
        <f>VLOOKUP(D38,'Rates '!$A$2:$G$4,5,FALSE)</f>
        <v>75</v>
      </c>
      <c r="N38" s="3">
        <f>VLOOKUP(D38,'Rates '!$A$2:$G$4,6,FALSE)</f>
        <v>0</v>
      </c>
      <c r="O38" s="45">
        <f>VLOOKUP(D38,'Rates '!$A$2:$G$4,7,FALSE)</f>
        <v>0</v>
      </c>
      <c r="P38" s="3">
        <f t="shared" si="0"/>
        <v>37.980000000000004</v>
      </c>
      <c r="Q38" s="3">
        <f t="shared" si="1"/>
        <v>6.8364000000000003</v>
      </c>
      <c r="R38" s="3">
        <f t="shared" si="2"/>
        <v>0</v>
      </c>
      <c r="S38" s="3">
        <f t="shared" si="3"/>
        <v>75</v>
      </c>
      <c r="T38" s="20">
        <f t="shared" si="4"/>
        <v>-195</v>
      </c>
    </row>
    <row r="39" spans="1:20" x14ac:dyDescent="0.3">
      <c r="A39" s="12" t="str">
        <f t="shared" si="5"/>
        <v>ORD038</v>
      </c>
      <c r="B39" s="1" t="s">
        <v>17</v>
      </c>
      <c r="C39" s="4" t="str">
        <f>VLOOKUP(B39,SKUs!$A$2:$E$6,2,FALSE)</f>
        <v>Premium Silk Kurta</v>
      </c>
      <c r="D39" s="1" t="s">
        <v>7</v>
      </c>
      <c r="E39" s="1" t="s">
        <v>36</v>
      </c>
      <c r="F39" s="1" t="s">
        <v>38</v>
      </c>
      <c r="G39" s="39">
        <f>VLOOKUP(Orders!B39,SKUs!$A$2:$D$6,3,FALSE)</f>
        <v>1899</v>
      </c>
      <c r="H39" s="39">
        <f>VLOOKUP(B39,SKUs!$A$2:$D$6,4,FALSE)</f>
        <v>645</v>
      </c>
      <c r="I39" s="39">
        <f>VLOOKUP(B39,SKUs!$A$2:$E$6,5,FALSE)</f>
        <v>45</v>
      </c>
      <c r="J39" s="2">
        <f>VLOOKUP(D39,'Rates '!$A$2:$G$4,2,FALSE)</f>
        <v>0.12</v>
      </c>
      <c r="K39" s="3">
        <f>VLOOKUP(D39,'Rates '!$A$2:$G$4,3,FALSE)</f>
        <v>40</v>
      </c>
      <c r="L39" s="3">
        <f>VLOOKUP(D39,'Rates '!$A$2:$G$4,4,FALSE)</f>
        <v>60</v>
      </c>
      <c r="M39" s="3">
        <f>VLOOKUP(D39,'Rates '!$A$2:$G$4,5,FALSE)</f>
        <v>60</v>
      </c>
      <c r="N39" s="3">
        <f>VLOOKUP(D39,'Rates '!$A$2:$G$4,6,FALSE)</f>
        <v>35</v>
      </c>
      <c r="O39" s="45">
        <f>VLOOKUP(D39,'Rates '!$A$2:$G$4,7,FALSE)</f>
        <v>0.02</v>
      </c>
      <c r="P39" s="3">
        <f t="shared" si="0"/>
        <v>227.88</v>
      </c>
      <c r="Q39" s="3">
        <f t="shared" si="1"/>
        <v>48.218399999999995</v>
      </c>
      <c r="R39" s="3">
        <f t="shared" si="2"/>
        <v>0</v>
      </c>
      <c r="S39" s="3">
        <f t="shared" si="3"/>
        <v>0</v>
      </c>
      <c r="T39" s="20">
        <f t="shared" si="4"/>
        <v>832.90159999999992</v>
      </c>
    </row>
    <row r="40" spans="1:20" x14ac:dyDescent="0.3">
      <c r="A40" s="12" t="str">
        <f t="shared" si="5"/>
        <v>ORD039</v>
      </c>
      <c r="B40" s="1" t="s">
        <v>17</v>
      </c>
      <c r="C40" s="4" t="str">
        <f>VLOOKUP(B40,SKUs!$A$2:$E$6,2,FALSE)</f>
        <v>Premium Silk Kurta</v>
      </c>
      <c r="D40" s="1" t="s">
        <v>7</v>
      </c>
      <c r="E40" s="1" t="s">
        <v>36</v>
      </c>
      <c r="F40" s="1" t="s">
        <v>38</v>
      </c>
      <c r="G40" s="39">
        <f>VLOOKUP(Orders!B40,SKUs!$A$2:$D$6,3,FALSE)</f>
        <v>1899</v>
      </c>
      <c r="H40" s="39">
        <f>VLOOKUP(B40,SKUs!$A$2:$D$6,4,FALSE)</f>
        <v>645</v>
      </c>
      <c r="I40" s="39">
        <f>VLOOKUP(B40,SKUs!$A$2:$E$6,5,FALSE)</f>
        <v>45</v>
      </c>
      <c r="J40" s="2">
        <f>VLOOKUP(D40,'Rates '!$A$2:$G$4,2,FALSE)</f>
        <v>0.12</v>
      </c>
      <c r="K40" s="3">
        <f>VLOOKUP(D40,'Rates '!$A$2:$G$4,3,FALSE)</f>
        <v>40</v>
      </c>
      <c r="L40" s="3">
        <f>VLOOKUP(D40,'Rates '!$A$2:$G$4,4,FALSE)</f>
        <v>60</v>
      </c>
      <c r="M40" s="3">
        <f>VLOOKUP(D40,'Rates '!$A$2:$G$4,5,FALSE)</f>
        <v>60</v>
      </c>
      <c r="N40" s="3">
        <f>VLOOKUP(D40,'Rates '!$A$2:$G$4,6,FALSE)</f>
        <v>35</v>
      </c>
      <c r="O40" s="45">
        <f>VLOOKUP(D40,'Rates '!$A$2:$G$4,7,FALSE)</f>
        <v>0.02</v>
      </c>
      <c r="P40" s="3">
        <f t="shared" si="0"/>
        <v>227.88</v>
      </c>
      <c r="Q40" s="3">
        <f t="shared" si="1"/>
        <v>48.218399999999995</v>
      </c>
      <c r="R40" s="3">
        <f t="shared" si="2"/>
        <v>0</v>
      </c>
      <c r="S40" s="3">
        <f t="shared" si="3"/>
        <v>0</v>
      </c>
      <c r="T40" s="20">
        <f t="shared" si="4"/>
        <v>832.90159999999992</v>
      </c>
    </row>
    <row r="41" spans="1:20" x14ac:dyDescent="0.3">
      <c r="A41" s="12" t="str">
        <f t="shared" si="5"/>
        <v>ORD040</v>
      </c>
      <c r="B41" s="1" t="s">
        <v>16</v>
      </c>
      <c r="C41" s="4" t="str">
        <f>VLOOKUP(B41,SKUs!$A$2:$E$6,2,FALSE)</f>
        <v>Designer Kurta</v>
      </c>
      <c r="D41" s="1" t="s">
        <v>8</v>
      </c>
      <c r="E41" s="1" t="s">
        <v>36</v>
      </c>
      <c r="F41" s="1" t="s">
        <v>39</v>
      </c>
      <c r="G41" s="39">
        <f>VLOOKUP(Orders!B41,SKUs!$A$2:$D$6,3,FALSE)</f>
        <v>1299</v>
      </c>
      <c r="H41" s="39">
        <f>VLOOKUP(B41,SKUs!$A$2:$D$6,4,FALSE)</f>
        <v>455</v>
      </c>
      <c r="I41" s="39">
        <f>VLOOKUP(B41,SKUs!$A$2:$E$6,5,FALSE)</f>
        <v>40</v>
      </c>
      <c r="J41" s="2">
        <f>VLOOKUP(D41,'Rates '!$A$2:$G$4,2,FALSE)</f>
        <v>0.02</v>
      </c>
      <c r="K41" s="3">
        <f>VLOOKUP(D41,'Rates '!$A$2:$G$4,3,FALSE)</f>
        <v>0</v>
      </c>
      <c r="L41" s="3">
        <f>VLOOKUP(D41,'Rates '!$A$2:$G$4,4,FALSE)</f>
        <v>75</v>
      </c>
      <c r="M41" s="3">
        <f>VLOOKUP(D41,'Rates '!$A$2:$G$4,5,FALSE)</f>
        <v>75</v>
      </c>
      <c r="N41" s="3">
        <f>VLOOKUP(D41,'Rates '!$A$2:$G$4,6,FALSE)</f>
        <v>0</v>
      </c>
      <c r="O41" s="45">
        <f>VLOOKUP(D41,'Rates '!$A$2:$G$4,7,FALSE)</f>
        <v>0</v>
      </c>
      <c r="P41" s="3">
        <f t="shared" si="0"/>
        <v>25.98</v>
      </c>
      <c r="Q41" s="3">
        <f t="shared" si="1"/>
        <v>4.6764000000000001</v>
      </c>
      <c r="R41" s="3">
        <f t="shared" si="2"/>
        <v>0</v>
      </c>
      <c r="S41" s="3">
        <f t="shared" si="3"/>
        <v>75</v>
      </c>
      <c r="T41" s="20">
        <f t="shared" si="4"/>
        <v>-190</v>
      </c>
    </row>
    <row r="42" spans="1:20" x14ac:dyDescent="0.3">
      <c r="A42" s="12" t="str">
        <f t="shared" si="5"/>
        <v>ORD041</v>
      </c>
      <c r="B42" s="1" t="s">
        <v>17</v>
      </c>
      <c r="C42" s="4" t="str">
        <f>VLOOKUP(B42,SKUs!$A$2:$E$6,2,FALSE)</f>
        <v>Premium Silk Kurta</v>
      </c>
      <c r="D42" s="1" t="s">
        <v>6</v>
      </c>
      <c r="E42" s="1" t="s">
        <v>36</v>
      </c>
      <c r="F42" s="1" t="s">
        <v>38</v>
      </c>
      <c r="G42" s="39">
        <f>VLOOKUP(Orders!B42,SKUs!$A$2:$D$6,3,FALSE)</f>
        <v>1899</v>
      </c>
      <c r="H42" s="39">
        <f>VLOOKUP(B42,SKUs!$A$2:$D$6,4,FALSE)</f>
        <v>645</v>
      </c>
      <c r="I42" s="39">
        <f>VLOOKUP(B42,SKUs!$A$2:$E$6,5,FALSE)</f>
        <v>45</v>
      </c>
      <c r="J42" s="2">
        <f>VLOOKUP(D42,'Rates '!$A$2:$G$4,2,FALSE)</f>
        <v>0.22</v>
      </c>
      <c r="K42" s="3">
        <f>VLOOKUP(D42,'Rates '!$A$2:$G$4,3,FALSE)</f>
        <v>70</v>
      </c>
      <c r="L42" s="3">
        <f>VLOOKUP(D42,'Rates '!$A$2:$G$4,4,FALSE)</f>
        <v>70</v>
      </c>
      <c r="M42" s="3">
        <f>VLOOKUP(D42,'Rates '!$A$2:$G$4,5,FALSE)</f>
        <v>70</v>
      </c>
      <c r="N42" s="3">
        <f>VLOOKUP(D42,'Rates '!$A$2:$G$4,6,FALSE)</f>
        <v>35</v>
      </c>
      <c r="O42" s="45">
        <f>VLOOKUP(D42,'Rates '!$A$2:$G$4,7,FALSE)</f>
        <v>0.02</v>
      </c>
      <c r="P42" s="3">
        <f t="shared" si="0"/>
        <v>417.78000000000003</v>
      </c>
      <c r="Q42" s="3">
        <f t="shared" si="1"/>
        <v>87.800399999999996</v>
      </c>
      <c r="R42" s="3">
        <f t="shared" si="2"/>
        <v>0</v>
      </c>
      <c r="S42" s="3">
        <f t="shared" si="3"/>
        <v>0</v>
      </c>
      <c r="T42" s="20">
        <f t="shared" si="4"/>
        <v>563.41959999999995</v>
      </c>
    </row>
    <row r="43" spans="1:20" x14ac:dyDescent="0.3">
      <c r="A43" s="12" t="str">
        <f t="shared" si="5"/>
        <v>ORD042</v>
      </c>
      <c r="B43" s="1" t="s">
        <v>13</v>
      </c>
      <c r="C43" s="4" t="str">
        <f>VLOOKUP(B43,SKUs!$A$2:$E$6,2,FALSE)</f>
        <v>Basic Cotton Kurta</v>
      </c>
      <c r="D43" s="1" t="s">
        <v>6</v>
      </c>
      <c r="E43" s="1" t="s">
        <v>36</v>
      </c>
      <c r="F43" s="1" t="s">
        <v>39</v>
      </c>
      <c r="G43" s="39">
        <f>VLOOKUP(Orders!B43,SKUs!$A$2:$D$6,3,FALSE)</f>
        <v>599</v>
      </c>
      <c r="H43" s="39">
        <f>VLOOKUP(B43,SKUs!$A$2:$D$6,4,FALSE)</f>
        <v>210</v>
      </c>
      <c r="I43" s="39">
        <f>VLOOKUP(B43,SKUs!$A$2:$E$6,5,FALSE)</f>
        <v>20</v>
      </c>
      <c r="J43" s="2">
        <f>VLOOKUP(D43,'Rates '!$A$2:$G$4,2,FALSE)</f>
        <v>0.22</v>
      </c>
      <c r="K43" s="3">
        <f>VLOOKUP(D43,'Rates '!$A$2:$G$4,3,FALSE)</f>
        <v>70</v>
      </c>
      <c r="L43" s="3">
        <f>VLOOKUP(D43,'Rates '!$A$2:$G$4,4,FALSE)</f>
        <v>70</v>
      </c>
      <c r="M43" s="3">
        <f>VLOOKUP(D43,'Rates '!$A$2:$G$4,5,FALSE)</f>
        <v>70</v>
      </c>
      <c r="N43" s="3">
        <f>VLOOKUP(D43,'Rates '!$A$2:$G$4,6,FALSE)</f>
        <v>35</v>
      </c>
      <c r="O43" s="45">
        <f>VLOOKUP(D43,'Rates '!$A$2:$G$4,7,FALSE)</f>
        <v>0.02</v>
      </c>
      <c r="P43" s="3">
        <f t="shared" si="0"/>
        <v>131.78</v>
      </c>
      <c r="Q43" s="3">
        <f t="shared" si="1"/>
        <v>36.320399999999999</v>
      </c>
      <c r="R43" s="3">
        <f t="shared" si="2"/>
        <v>0</v>
      </c>
      <c r="S43" s="3">
        <f t="shared" si="3"/>
        <v>70</v>
      </c>
      <c r="T43" s="20">
        <f t="shared" si="4"/>
        <v>-160</v>
      </c>
    </row>
    <row r="44" spans="1:20" x14ac:dyDescent="0.3">
      <c r="A44" s="12" t="str">
        <f t="shared" si="5"/>
        <v>ORD043</v>
      </c>
      <c r="B44" s="1" t="s">
        <v>17</v>
      </c>
      <c r="C44" s="4" t="str">
        <f>VLOOKUP(B44,SKUs!$A$2:$E$6,2,FALSE)</f>
        <v>Premium Silk Kurta</v>
      </c>
      <c r="D44" s="1" t="s">
        <v>8</v>
      </c>
      <c r="E44" s="1" t="s">
        <v>36</v>
      </c>
      <c r="F44" s="1" t="s">
        <v>38</v>
      </c>
      <c r="G44" s="39">
        <f>VLOOKUP(Orders!B44,SKUs!$A$2:$D$6,3,FALSE)</f>
        <v>1899</v>
      </c>
      <c r="H44" s="39">
        <f>VLOOKUP(B44,SKUs!$A$2:$D$6,4,FALSE)</f>
        <v>645</v>
      </c>
      <c r="I44" s="39">
        <f>VLOOKUP(B44,SKUs!$A$2:$E$6,5,FALSE)</f>
        <v>45</v>
      </c>
      <c r="J44" s="2">
        <f>VLOOKUP(D44,'Rates '!$A$2:$G$4,2,FALSE)</f>
        <v>0.02</v>
      </c>
      <c r="K44" s="3">
        <f>VLOOKUP(D44,'Rates '!$A$2:$G$4,3,FALSE)</f>
        <v>0</v>
      </c>
      <c r="L44" s="3">
        <f>VLOOKUP(D44,'Rates '!$A$2:$G$4,4,FALSE)</f>
        <v>75</v>
      </c>
      <c r="M44" s="3">
        <f>VLOOKUP(D44,'Rates '!$A$2:$G$4,5,FALSE)</f>
        <v>75</v>
      </c>
      <c r="N44" s="3">
        <f>VLOOKUP(D44,'Rates '!$A$2:$G$4,6,FALSE)</f>
        <v>0</v>
      </c>
      <c r="O44" s="45">
        <f>VLOOKUP(D44,'Rates '!$A$2:$G$4,7,FALSE)</f>
        <v>0</v>
      </c>
      <c r="P44" s="3">
        <f t="shared" si="0"/>
        <v>37.980000000000004</v>
      </c>
      <c r="Q44" s="3">
        <f t="shared" si="1"/>
        <v>6.8364000000000003</v>
      </c>
      <c r="R44" s="3">
        <f t="shared" si="2"/>
        <v>0</v>
      </c>
      <c r="S44" s="3">
        <f t="shared" si="3"/>
        <v>0</v>
      </c>
      <c r="T44" s="20">
        <f t="shared" si="4"/>
        <v>1089.1836000000001</v>
      </c>
    </row>
    <row r="45" spans="1:20" x14ac:dyDescent="0.3">
      <c r="A45" s="12" t="str">
        <f t="shared" si="5"/>
        <v>ORD044</v>
      </c>
      <c r="B45" s="1" t="s">
        <v>17</v>
      </c>
      <c r="C45" s="4" t="str">
        <f>VLOOKUP(B45,SKUs!$A$2:$E$6,2,FALSE)</f>
        <v>Premium Silk Kurta</v>
      </c>
      <c r="D45" s="1" t="s">
        <v>6</v>
      </c>
      <c r="E45" s="1" t="s">
        <v>37</v>
      </c>
      <c r="F45" s="1" t="s">
        <v>39</v>
      </c>
      <c r="G45" s="39">
        <f>VLOOKUP(Orders!B45,SKUs!$A$2:$D$6,3,FALSE)</f>
        <v>1899</v>
      </c>
      <c r="H45" s="39">
        <f>VLOOKUP(B45,SKUs!$A$2:$D$6,4,FALSE)</f>
        <v>645</v>
      </c>
      <c r="I45" s="39">
        <f>VLOOKUP(B45,SKUs!$A$2:$E$6,5,FALSE)</f>
        <v>45</v>
      </c>
      <c r="J45" s="2">
        <f>VLOOKUP(D45,'Rates '!$A$2:$G$4,2,FALSE)</f>
        <v>0.22</v>
      </c>
      <c r="K45" s="3">
        <f>VLOOKUP(D45,'Rates '!$A$2:$G$4,3,FALSE)</f>
        <v>70</v>
      </c>
      <c r="L45" s="3">
        <f>VLOOKUP(D45,'Rates '!$A$2:$G$4,4,FALSE)</f>
        <v>70</v>
      </c>
      <c r="M45" s="3">
        <f>VLOOKUP(D45,'Rates '!$A$2:$G$4,5,FALSE)</f>
        <v>70</v>
      </c>
      <c r="N45" s="3">
        <f>VLOOKUP(D45,'Rates '!$A$2:$G$4,6,FALSE)</f>
        <v>35</v>
      </c>
      <c r="O45" s="45">
        <f>VLOOKUP(D45,'Rates '!$A$2:$G$4,7,FALSE)</f>
        <v>0.02</v>
      </c>
      <c r="P45" s="3">
        <f t="shared" si="0"/>
        <v>417.78000000000003</v>
      </c>
      <c r="Q45" s="3">
        <f t="shared" si="1"/>
        <v>87.800399999999996</v>
      </c>
      <c r="R45" s="3">
        <f t="shared" si="2"/>
        <v>72.98</v>
      </c>
      <c r="S45" s="3">
        <f t="shared" si="3"/>
        <v>70</v>
      </c>
      <c r="T45" s="20">
        <f t="shared" si="4"/>
        <v>-257.98</v>
      </c>
    </row>
    <row r="46" spans="1:20" x14ac:dyDescent="0.3">
      <c r="A46" s="12" t="str">
        <f t="shared" si="5"/>
        <v>ORD045</v>
      </c>
      <c r="B46" s="1" t="s">
        <v>17</v>
      </c>
      <c r="C46" s="4" t="str">
        <f>VLOOKUP(B46,SKUs!$A$2:$E$6,2,FALSE)</f>
        <v>Premium Silk Kurta</v>
      </c>
      <c r="D46" s="1" t="s">
        <v>8</v>
      </c>
      <c r="E46" s="1" t="s">
        <v>36</v>
      </c>
      <c r="F46" s="1" t="s">
        <v>39</v>
      </c>
      <c r="G46" s="39">
        <f>VLOOKUP(Orders!B46,SKUs!$A$2:$D$6,3,FALSE)</f>
        <v>1899</v>
      </c>
      <c r="H46" s="39">
        <f>VLOOKUP(B46,SKUs!$A$2:$D$6,4,FALSE)</f>
        <v>645</v>
      </c>
      <c r="I46" s="39">
        <f>VLOOKUP(B46,SKUs!$A$2:$E$6,5,FALSE)</f>
        <v>45</v>
      </c>
      <c r="J46" s="2">
        <f>VLOOKUP(D46,'Rates '!$A$2:$G$4,2,FALSE)</f>
        <v>0.02</v>
      </c>
      <c r="K46" s="3">
        <f>VLOOKUP(D46,'Rates '!$A$2:$G$4,3,FALSE)</f>
        <v>0</v>
      </c>
      <c r="L46" s="3">
        <f>VLOOKUP(D46,'Rates '!$A$2:$G$4,4,FALSE)</f>
        <v>75</v>
      </c>
      <c r="M46" s="3">
        <f>VLOOKUP(D46,'Rates '!$A$2:$G$4,5,FALSE)</f>
        <v>75</v>
      </c>
      <c r="N46" s="3">
        <f>VLOOKUP(D46,'Rates '!$A$2:$G$4,6,FALSE)</f>
        <v>0</v>
      </c>
      <c r="O46" s="45">
        <f>VLOOKUP(D46,'Rates '!$A$2:$G$4,7,FALSE)</f>
        <v>0</v>
      </c>
      <c r="P46" s="3">
        <f t="shared" si="0"/>
        <v>37.980000000000004</v>
      </c>
      <c r="Q46" s="3">
        <f t="shared" si="1"/>
        <v>6.8364000000000003</v>
      </c>
      <c r="R46" s="3">
        <f t="shared" si="2"/>
        <v>0</v>
      </c>
      <c r="S46" s="3">
        <f t="shared" si="3"/>
        <v>75</v>
      </c>
      <c r="T46" s="20">
        <f t="shared" si="4"/>
        <v>-195</v>
      </c>
    </row>
    <row r="47" spans="1:20" x14ac:dyDescent="0.3">
      <c r="A47" s="12" t="str">
        <f t="shared" si="5"/>
        <v>ORD046</v>
      </c>
      <c r="B47" s="1" t="s">
        <v>17</v>
      </c>
      <c r="C47" s="4" t="str">
        <f>VLOOKUP(B47,SKUs!$A$2:$E$6,2,FALSE)</f>
        <v>Premium Silk Kurta</v>
      </c>
      <c r="D47" s="1" t="s">
        <v>8</v>
      </c>
      <c r="E47" s="1" t="s">
        <v>36</v>
      </c>
      <c r="F47" s="1" t="s">
        <v>39</v>
      </c>
      <c r="G47" s="39">
        <f>VLOOKUP(Orders!B47,SKUs!$A$2:$D$6,3,FALSE)</f>
        <v>1899</v>
      </c>
      <c r="H47" s="39">
        <f>VLOOKUP(B47,SKUs!$A$2:$D$6,4,FALSE)</f>
        <v>645</v>
      </c>
      <c r="I47" s="39">
        <f>VLOOKUP(B47,SKUs!$A$2:$E$6,5,FALSE)</f>
        <v>45</v>
      </c>
      <c r="J47" s="2">
        <f>VLOOKUP(D47,'Rates '!$A$2:$G$4,2,FALSE)</f>
        <v>0.02</v>
      </c>
      <c r="K47" s="3">
        <f>VLOOKUP(D47,'Rates '!$A$2:$G$4,3,FALSE)</f>
        <v>0</v>
      </c>
      <c r="L47" s="3">
        <f>VLOOKUP(D47,'Rates '!$A$2:$G$4,4,FALSE)</f>
        <v>75</v>
      </c>
      <c r="M47" s="3">
        <f>VLOOKUP(D47,'Rates '!$A$2:$G$4,5,FALSE)</f>
        <v>75</v>
      </c>
      <c r="N47" s="3">
        <f>VLOOKUP(D47,'Rates '!$A$2:$G$4,6,FALSE)</f>
        <v>0</v>
      </c>
      <c r="O47" s="45">
        <f>VLOOKUP(D47,'Rates '!$A$2:$G$4,7,FALSE)</f>
        <v>0</v>
      </c>
      <c r="P47" s="3">
        <f t="shared" si="0"/>
        <v>37.980000000000004</v>
      </c>
      <c r="Q47" s="3">
        <f t="shared" si="1"/>
        <v>6.8364000000000003</v>
      </c>
      <c r="R47" s="3">
        <f t="shared" si="2"/>
        <v>0</v>
      </c>
      <c r="S47" s="3">
        <f t="shared" si="3"/>
        <v>75</v>
      </c>
      <c r="T47" s="20">
        <f t="shared" si="4"/>
        <v>-195</v>
      </c>
    </row>
    <row r="48" spans="1:20" x14ac:dyDescent="0.3">
      <c r="A48" s="12" t="str">
        <f t="shared" si="5"/>
        <v>ORD047</v>
      </c>
      <c r="B48" s="1" t="s">
        <v>17</v>
      </c>
      <c r="C48" s="4" t="str">
        <f>VLOOKUP(B48,SKUs!$A$2:$E$6,2,FALSE)</f>
        <v>Premium Silk Kurta</v>
      </c>
      <c r="D48" s="1" t="s">
        <v>6</v>
      </c>
      <c r="E48" s="1" t="s">
        <v>37</v>
      </c>
      <c r="F48" s="1" t="s">
        <v>39</v>
      </c>
      <c r="G48" s="39">
        <f>VLOOKUP(Orders!B48,SKUs!$A$2:$D$6,3,FALSE)</f>
        <v>1899</v>
      </c>
      <c r="H48" s="39">
        <f>VLOOKUP(B48,SKUs!$A$2:$D$6,4,FALSE)</f>
        <v>645</v>
      </c>
      <c r="I48" s="39">
        <f>VLOOKUP(B48,SKUs!$A$2:$E$6,5,FALSE)</f>
        <v>45</v>
      </c>
      <c r="J48" s="2">
        <f>VLOOKUP(D48,'Rates '!$A$2:$G$4,2,FALSE)</f>
        <v>0.22</v>
      </c>
      <c r="K48" s="3">
        <f>VLOOKUP(D48,'Rates '!$A$2:$G$4,3,FALSE)</f>
        <v>70</v>
      </c>
      <c r="L48" s="3">
        <f>VLOOKUP(D48,'Rates '!$A$2:$G$4,4,FALSE)</f>
        <v>70</v>
      </c>
      <c r="M48" s="3">
        <f>VLOOKUP(D48,'Rates '!$A$2:$G$4,5,FALSE)</f>
        <v>70</v>
      </c>
      <c r="N48" s="3">
        <f>VLOOKUP(D48,'Rates '!$A$2:$G$4,6,FALSE)</f>
        <v>35</v>
      </c>
      <c r="O48" s="45">
        <f>VLOOKUP(D48,'Rates '!$A$2:$G$4,7,FALSE)</f>
        <v>0.02</v>
      </c>
      <c r="P48" s="3">
        <f t="shared" si="0"/>
        <v>417.78000000000003</v>
      </c>
      <c r="Q48" s="3">
        <f t="shared" si="1"/>
        <v>87.800399999999996</v>
      </c>
      <c r="R48" s="3">
        <f t="shared" si="2"/>
        <v>72.98</v>
      </c>
      <c r="S48" s="3">
        <f t="shared" si="3"/>
        <v>70</v>
      </c>
      <c r="T48" s="20">
        <f t="shared" si="4"/>
        <v>-257.98</v>
      </c>
    </row>
    <row r="49" spans="1:20" x14ac:dyDescent="0.3">
      <c r="A49" s="12" t="str">
        <f t="shared" si="5"/>
        <v>ORD048</v>
      </c>
      <c r="B49" s="1" t="s">
        <v>17</v>
      </c>
      <c r="C49" s="4" t="str">
        <f>VLOOKUP(B49,SKUs!$A$2:$E$6,2,FALSE)</f>
        <v>Premium Silk Kurta</v>
      </c>
      <c r="D49" s="1" t="s">
        <v>8</v>
      </c>
      <c r="E49" s="1" t="s">
        <v>36</v>
      </c>
      <c r="F49" s="1" t="s">
        <v>39</v>
      </c>
      <c r="G49" s="39">
        <f>VLOOKUP(Orders!B49,SKUs!$A$2:$D$6,3,FALSE)</f>
        <v>1899</v>
      </c>
      <c r="H49" s="39">
        <f>VLOOKUP(B49,SKUs!$A$2:$D$6,4,FALSE)</f>
        <v>645</v>
      </c>
      <c r="I49" s="39">
        <f>VLOOKUP(B49,SKUs!$A$2:$E$6,5,FALSE)</f>
        <v>45</v>
      </c>
      <c r="J49" s="2">
        <f>VLOOKUP(D49,'Rates '!$A$2:$G$4,2,FALSE)</f>
        <v>0.02</v>
      </c>
      <c r="K49" s="3">
        <f>VLOOKUP(D49,'Rates '!$A$2:$G$4,3,FALSE)</f>
        <v>0</v>
      </c>
      <c r="L49" s="3">
        <f>VLOOKUP(D49,'Rates '!$A$2:$G$4,4,FALSE)</f>
        <v>75</v>
      </c>
      <c r="M49" s="3">
        <f>VLOOKUP(D49,'Rates '!$A$2:$G$4,5,FALSE)</f>
        <v>75</v>
      </c>
      <c r="N49" s="3">
        <f>VLOOKUP(D49,'Rates '!$A$2:$G$4,6,FALSE)</f>
        <v>0</v>
      </c>
      <c r="O49" s="45">
        <f>VLOOKUP(D49,'Rates '!$A$2:$G$4,7,FALSE)</f>
        <v>0</v>
      </c>
      <c r="P49" s="3">
        <f t="shared" si="0"/>
        <v>37.980000000000004</v>
      </c>
      <c r="Q49" s="3">
        <f t="shared" si="1"/>
        <v>6.8364000000000003</v>
      </c>
      <c r="R49" s="3">
        <f t="shared" si="2"/>
        <v>0</v>
      </c>
      <c r="S49" s="3">
        <f t="shared" si="3"/>
        <v>75</v>
      </c>
      <c r="T49" s="20">
        <f t="shared" si="4"/>
        <v>-195</v>
      </c>
    </row>
    <row r="50" spans="1:20" x14ac:dyDescent="0.3">
      <c r="A50" s="12" t="str">
        <f t="shared" si="5"/>
        <v>ORD049</v>
      </c>
      <c r="B50" s="1" t="s">
        <v>15</v>
      </c>
      <c r="C50" s="4" t="str">
        <f>VLOOKUP(B50,SKUs!$A$2:$E$6,2,FALSE)</f>
        <v>Embroidered Kurta</v>
      </c>
      <c r="D50" s="1" t="s">
        <v>7</v>
      </c>
      <c r="E50" s="1" t="s">
        <v>36</v>
      </c>
      <c r="F50" s="1" t="s">
        <v>38</v>
      </c>
      <c r="G50" s="39">
        <f>VLOOKUP(Orders!B50,SKUs!$A$2:$D$6,3,FALSE)</f>
        <v>999</v>
      </c>
      <c r="H50" s="39">
        <f>VLOOKUP(B50,SKUs!$A$2:$D$6,4,FALSE)</f>
        <v>350</v>
      </c>
      <c r="I50" s="39">
        <f>VLOOKUP(B50,SKUs!$A$2:$E$6,5,FALSE)</f>
        <v>30</v>
      </c>
      <c r="J50" s="2">
        <f>VLOOKUP(D50,'Rates '!$A$2:$G$4,2,FALSE)</f>
        <v>0.12</v>
      </c>
      <c r="K50" s="3">
        <f>VLOOKUP(D50,'Rates '!$A$2:$G$4,3,FALSE)</f>
        <v>40</v>
      </c>
      <c r="L50" s="3">
        <f>VLOOKUP(D50,'Rates '!$A$2:$G$4,4,FALSE)</f>
        <v>60</v>
      </c>
      <c r="M50" s="3">
        <f>VLOOKUP(D50,'Rates '!$A$2:$G$4,5,FALSE)</f>
        <v>60</v>
      </c>
      <c r="N50" s="3">
        <f>VLOOKUP(D50,'Rates '!$A$2:$G$4,6,FALSE)</f>
        <v>35</v>
      </c>
      <c r="O50" s="45">
        <f>VLOOKUP(D50,'Rates '!$A$2:$G$4,7,FALSE)</f>
        <v>0.02</v>
      </c>
      <c r="P50" s="3">
        <f t="shared" si="0"/>
        <v>119.88</v>
      </c>
      <c r="Q50" s="3">
        <f t="shared" si="1"/>
        <v>28.778399999999998</v>
      </c>
      <c r="R50" s="3">
        <f t="shared" si="2"/>
        <v>0</v>
      </c>
      <c r="S50" s="3">
        <f t="shared" si="3"/>
        <v>0</v>
      </c>
      <c r="T50" s="20">
        <f t="shared" si="4"/>
        <v>370.34159999999997</v>
      </c>
    </row>
    <row r="51" spans="1:20" x14ac:dyDescent="0.3">
      <c r="A51" s="12" t="str">
        <f t="shared" si="5"/>
        <v>ORD050</v>
      </c>
      <c r="B51" s="1" t="s">
        <v>16</v>
      </c>
      <c r="C51" s="4" t="str">
        <f>VLOOKUP(B51,SKUs!$A$2:$E$6,2,FALSE)</f>
        <v>Designer Kurta</v>
      </c>
      <c r="D51" s="1" t="s">
        <v>7</v>
      </c>
      <c r="E51" s="1" t="s">
        <v>37</v>
      </c>
      <c r="F51" s="1" t="s">
        <v>38</v>
      </c>
      <c r="G51" s="39">
        <f>VLOOKUP(Orders!B51,SKUs!$A$2:$D$6,3,FALSE)</f>
        <v>1299</v>
      </c>
      <c r="H51" s="39">
        <f>VLOOKUP(B51,SKUs!$A$2:$D$6,4,FALSE)</f>
        <v>455</v>
      </c>
      <c r="I51" s="39">
        <f>VLOOKUP(B51,SKUs!$A$2:$E$6,5,FALSE)</f>
        <v>40</v>
      </c>
      <c r="J51" s="2">
        <f>VLOOKUP(D51,'Rates '!$A$2:$G$4,2,FALSE)</f>
        <v>0.12</v>
      </c>
      <c r="K51" s="3">
        <f>VLOOKUP(D51,'Rates '!$A$2:$G$4,3,FALSE)</f>
        <v>40</v>
      </c>
      <c r="L51" s="3">
        <f>VLOOKUP(D51,'Rates '!$A$2:$G$4,4,FALSE)</f>
        <v>60</v>
      </c>
      <c r="M51" s="3">
        <f>VLOOKUP(D51,'Rates '!$A$2:$G$4,5,FALSE)</f>
        <v>60</v>
      </c>
      <c r="N51" s="3">
        <f>VLOOKUP(D51,'Rates '!$A$2:$G$4,6,FALSE)</f>
        <v>35</v>
      </c>
      <c r="O51" s="45">
        <f>VLOOKUP(D51,'Rates '!$A$2:$G$4,7,FALSE)</f>
        <v>0.02</v>
      </c>
      <c r="P51" s="3">
        <f t="shared" si="0"/>
        <v>155.88</v>
      </c>
      <c r="Q51" s="3">
        <f t="shared" si="1"/>
        <v>35.258399999999995</v>
      </c>
      <c r="R51" s="3">
        <f t="shared" si="2"/>
        <v>60.980000000000004</v>
      </c>
      <c r="S51" s="3">
        <f t="shared" si="3"/>
        <v>0</v>
      </c>
      <c r="T51" s="20">
        <f t="shared" si="4"/>
        <v>451.88159999999993</v>
      </c>
    </row>
    <row r="52" spans="1:20" x14ac:dyDescent="0.3">
      <c r="A52" s="12" t="str">
        <f t="shared" si="5"/>
        <v>ORD051</v>
      </c>
      <c r="B52" s="1" t="s">
        <v>14</v>
      </c>
      <c r="C52" s="4" t="str">
        <f>VLOOKUP(B52,SKUs!$A$2:$E$6,2,FALSE)</f>
        <v>Printed Kurta</v>
      </c>
      <c r="D52" s="1" t="s">
        <v>6</v>
      </c>
      <c r="E52" s="1" t="s">
        <v>37</v>
      </c>
      <c r="F52" s="1" t="s">
        <v>39</v>
      </c>
      <c r="G52" s="39">
        <f>VLOOKUP(Orders!B52,SKUs!$A$2:$D$6,3,FALSE)</f>
        <v>799</v>
      </c>
      <c r="H52" s="39">
        <f>VLOOKUP(B52,SKUs!$A$2:$D$6,4,FALSE)</f>
        <v>280</v>
      </c>
      <c r="I52" s="39">
        <f>VLOOKUP(B52,SKUs!$A$2:$E$6,5,FALSE)</f>
        <v>25</v>
      </c>
      <c r="J52" s="2">
        <f>VLOOKUP(D52,'Rates '!$A$2:$G$4,2,FALSE)</f>
        <v>0.22</v>
      </c>
      <c r="K52" s="3">
        <f>VLOOKUP(D52,'Rates '!$A$2:$G$4,3,FALSE)</f>
        <v>70</v>
      </c>
      <c r="L52" s="3">
        <f>VLOOKUP(D52,'Rates '!$A$2:$G$4,4,FALSE)</f>
        <v>70</v>
      </c>
      <c r="M52" s="3">
        <f>VLOOKUP(D52,'Rates '!$A$2:$G$4,5,FALSE)</f>
        <v>70</v>
      </c>
      <c r="N52" s="3">
        <f>VLOOKUP(D52,'Rates '!$A$2:$G$4,6,FALSE)</f>
        <v>35</v>
      </c>
      <c r="O52" s="45">
        <f>VLOOKUP(D52,'Rates '!$A$2:$G$4,7,FALSE)</f>
        <v>0.02</v>
      </c>
      <c r="P52" s="3">
        <f t="shared" si="0"/>
        <v>175.78</v>
      </c>
      <c r="Q52" s="3">
        <f t="shared" si="1"/>
        <v>44.240400000000001</v>
      </c>
      <c r="R52" s="3">
        <f t="shared" si="2"/>
        <v>50.980000000000004</v>
      </c>
      <c r="S52" s="3">
        <f t="shared" si="3"/>
        <v>70</v>
      </c>
      <c r="T52" s="20">
        <f t="shared" si="4"/>
        <v>-215.98000000000002</v>
      </c>
    </row>
    <row r="53" spans="1:20" x14ac:dyDescent="0.3">
      <c r="A53" s="12" t="str">
        <f t="shared" si="5"/>
        <v>ORD052</v>
      </c>
      <c r="B53" s="1" t="s">
        <v>14</v>
      </c>
      <c r="C53" s="4" t="str">
        <f>VLOOKUP(B53,SKUs!$A$2:$E$6,2,FALSE)</f>
        <v>Printed Kurta</v>
      </c>
      <c r="D53" s="1" t="s">
        <v>6</v>
      </c>
      <c r="E53" s="1" t="s">
        <v>37</v>
      </c>
      <c r="F53" s="1" t="s">
        <v>38</v>
      </c>
      <c r="G53" s="39">
        <f>VLOOKUP(Orders!B53,SKUs!$A$2:$D$6,3,FALSE)</f>
        <v>799</v>
      </c>
      <c r="H53" s="39">
        <f>VLOOKUP(B53,SKUs!$A$2:$D$6,4,FALSE)</f>
        <v>280</v>
      </c>
      <c r="I53" s="39">
        <f>VLOOKUP(B53,SKUs!$A$2:$E$6,5,FALSE)</f>
        <v>25</v>
      </c>
      <c r="J53" s="2">
        <f>VLOOKUP(D53,'Rates '!$A$2:$G$4,2,FALSE)</f>
        <v>0.22</v>
      </c>
      <c r="K53" s="3">
        <f>VLOOKUP(D53,'Rates '!$A$2:$G$4,3,FALSE)</f>
        <v>70</v>
      </c>
      <c r="L53" s="3">
        <f>VLOOKUP(D53,'Rates '!$A$2:$G$4,4,FALSE)</f>
        <v>70</v>
      </c>
      <c r="M53" s="3">
        <f>VLOOKUP(D53,'Rates '!$A$2:$G$4,5,FALSE)</f>
        <v>70</v>
      </c>
      <c r="N53" s="3">
        <f>VLOOKUP(D53,'Rates '!$A$2:$G$4,6,FALSE)</f>
        <v>35</v>
      </c>
      <c r="O53" s="45">
        <f>VLOOKUP(D53,'Rates '!$A$2:$G$4,7,FALSE)</f>
        <v>0.02</v>
      </c>
      <c r="P53" s="3">
        <f t="shared" si="0"/>
        <v>175.78</v>
      </c>
      <c r="Q53" s="3">
        <f t="shared" si="1"/>
        <v>44.240400000000001</v>
      </c>
      <c r="R53" s="3">
        <f t="shared" si="2"/>
        <v>50.980000000000004</v>
      </c>
      <c r="S53" s="3">
        <f t="shared" si="3"/>
        <v>0</v>
      </c>
      <c r="T53" s="20">
        <f t="shared" si="4"/>
        <v>82.999599999999987</v>
      </c>
    </row>
    <row r="54" spans="1:20" x14ac:dyDescent="0.3">
      <c r="A54" s="12" t="str">
        <f t="shared" si="5"/>
        <v>ORD053</v>
      </c>
      <c r="B54" s="1" t="s">
        <v>14</v>
      </c>
      <c r="C54" s="4" t="str">
        <f>VLOOKUP(B54,SKUs!$A$2:$E$6,2,FALSE)</f>
        <v>Printed Kurta</v>
      </c>
      <c r="D54" s="1" t="s">
        <v>7</v>
      </c>
      <c r="E54" s="1" t="s">
        <v>36</v>
      </c>
      <c r="F54" s="1" t="s">
        <v>38</v>
      </c>
      <c r="G54" s="39">
        <f>VLOOKUP(Orders!B54,SKUs!$A$2:$D$6,3,FALSE)</f>
        <v>799</v>
      </c>
      <c r="H54" s="39">
        <f>VLOOKUP(B54,SKUs!$A$2:$D$6,4,FALSE)</f>
        <v>280</v>
      </c>
      <c r="I54" s="39">
        <f>VLOOKUP(B54,SKUs!$A$2:$E$6,5,FALSE)</f>
        <v>25</v>
      </c>
      <c r="J54" s="2">
        <f>VLOOKUP(D54,'Rates '!$A$2:$G$4,2,FALSE)</f>
        <v>0.12</v>
      </c>
      <c r="K54" s="3">
        <f>VLOOKUP(D54,'Rates '!$A$2:$G$4,3,FALSE)</f>
        <v>40</v>
      </c>
      <c r="L54" s="3">
        <f>VLOOKUP(D54,'Rates '!$A$2:$G$4,4,FALSE)</f>
        <v>60</v>
      </c>
      <c r="M54" s="3">
        <f>VLOOKUP(D54,'Rates '!$A$2:$G$4,5,FALSE)</f>
        <v>60</v>
      </c>
      <c r="N54" s="3">
        <f>VLOOKUP(D54,'Rates '!$A$2:$G$4,6,FALSE)</f>
        <v>35</v>
      </c>
      <c r="O54" s="45">
        <f>VLOOKUP(D54,'Rates '!$A$2:$G$4,7,FALSE)</f>
        <v>0.02</v>
      </c>
      <c r="P54" s="3">
        <f t="shared" si="0"/>
        <v>95.88</v>
      </c>
      <c r="Q54" s="3">
        <f t="shared" si="1"/>
        <v>24.458399999999997</v>
      </c>
      <c r="R54" s="3">
        <f t="shared" si="2"/>
        <v>0</v>
      </c>
      <c r="S54" s="3">
        <f t="shared" si="3"/>
        <v>0</v>
      </c>
      <c r="T54" s="20">
        <f t="shared" si="4"/>
        <v>273.66160000000002</v>
      </c>
    </row>
    <row r="55" spans="1:20" x14ac:dyDescent="0.3">
      <c r="A55" s="12" t="str">
        <f t="shared" si="5"/>
        <v>ORD054</v>
      </c>
      <c r="B55" s="1" t="s">
        <v>16</v>
      </c>
      <c r="C55" s="4" t="str">
        <f>VLOOKUP(B55,SKUs!$A$2:$E$6,2,FALSE)</f>
        <v>Designer Kurta</v>
      </c>
      <c r="D55" s="1" t="s">
        <v>7</v>
      </c>
      <c r="E55" s="1" t="s">
        <v>37</v>
      </c>
      <c r="F55" s="1" t="s">
        <v>38</v>
      </c>
      <c r="G55" s="39">
        <f>VLOOKUP(Orders!B55,SKUs!$A$2:$D$6,3,FALSE)</f>
        <v>1299</v>
      </c>
      <c r="H55" s="39">
        <f>VLOOKUP(B55,SKUs!$A$2:$D$6,4,FALSE)</f>
        <v>455</v>
      </c>
      <c r="I55" s="39">
        <f>VLOOKUP(B55,SKUs!$A$2:$E$6,5,FALSE)</f>
        <v>40</v>
      </c>
      <c r="J55" s="2">
        <f>VLOOKUP(D55,'Rates '!$A$2:$G$4,2,FALSE)</f>
        <v>0.12</v>
      </c>
      <c r="K55" s="3">
        <f>VLOOKUP(D55,'Rates '!$A$2:$G$4,3,FALSE)</f>
        <v>40</v>
      </c>
      <c r="L55" s="3">
        <f>VLOOKUP(D55,'Rates '!$A$2:$G$4,4,FALSE)</f>
        <v>60</v>
      </c>
      <c r="M55" s="3">
        <f>VLOOKUP(D55,'Rates '!$A$2:$G$4,5,FALSE)</f>
        <v>60</v>
      </c>
      <c r="N55" s="3">
        <f>VLOOKUP(D55,'Rates '!$A$2:$G$4,6,FALSE)</f>
        <v>35</v>
      </c>
      <c r="O55" s="45">
        <f>VLOOKUP(D55,'Rates '!$A$2:$G$4,7,FALSE)</f>
        <v>0.02</v>
      </c>
      <c r="P55" s="3">
        <f t="shared" si="0"/>
        <v>155.88</v>
      </c>
      <c r="Q55" s="3">
        <f t="shared" si="1"/>
        <v>35.258399999999995</v>
      </c>
      <c r="R55" s="3">
        <f t="shared" si="2"/>
        <v>60.980000000000004</v>
      </c>
      <c r="S55" s="3">
        <f t="shared" si="3"/>
        <v>0</v>
      </c>
      <c r="T55" s="20">
        <f t="shared" si="4"/>
        <v>451.88159999999993</v>
      </c>
    </row>
    <row r="56" spans="1:20" x14ac:dyDescent="0.3">
      <c r="A56" s="12" t="str">
        <f t="shared" si="5"/>
        <v>ORD055</v>
      </c>
      <c r="B56" s="1" t="s">
        <v>14</v>
      </c>
      <c r="C56" s="4" t="str">
        <f>VLOOKUP(B56,SKUs!$A$2:$E$6,2,FALSE)</f>
        <v>Printed Kurta</v>
      </c>
      <c r="D56" s="1" t="s">
        <v>7</v>
      </c>
      <c r="E56" s="1" t="s">
        <v>37</v>
      </c>
      <c r="F56" s="1" t="s">
        <v>38</v>
      </c>
      <c r="G56" s="39">
        <f>VLOOKUP(Orders!B56,SKUs!$A$2:$D$6,3,FALSE)</f>
        <v>799</v>
      </c>
      <c r="H56" s="39">
        <f>VLOOKUP(B56,SKUs!$A$2:$D$6,4,FALSE)</f>
        <v>280</v>
      </c>
      <c r="I56" s="39">
        <f>VLOOKUP(B56,SKUs!$A$2:$E$6,5,FALSE)</f>
        <v>25</v>
      </c>
      <c r="J56" s="2">
        <f>VLOOKUP(D56,'Rates '!$A$2:$G$4,2,FALSE)</f>
        <v>0.12</v>
      </c>
      <c r="K56" s="3">
        <f>VLOOKUP(D56,'Rates '!$A$2:$G$4,3,FALSE)</f>
        <v>40</v>
      </c>
      <c r="L56" s="3">
        <f>VLOOKUP(D56,'Rates '!$A$2:$G$4,4,FALSE)</f>
        <v>60</v>
      </c>
      <c r="M56" s="3">
        <f>VLOOKUP(D56,'Rates '!$A$2:$G$4,5,FALSE)</f>
        <v>60</v>
      </c>
      <c r="N56" s="3">
        <f>VLOOKUP(D56,'Rates '!$A$2:$G$4,6,FALSE)</f>
        <v>35</v>
      </c>
      <c r="O56" s="45">
        <f>VLOOKUP(D56,'Rates '!$A$2:$G$4,7,FALSE)</f>
        <v>0.02</v>
      </c>
      <c r="P56" s="3">
        <f t="shared" si="0"/>
        <v>95.88</v>
      </c>
      <c r="Q56" s="3">
        <f t="shared" si="1"/>
        <v>24.458399999999997</v>
      </c>
      <c r="R56" s="3">
        <f t="shared" si="2"/>
        <v>50.980000000000004</v>
      </c>
      <c r="S56" s="3">
        <f t="shared" si="3"/>
        <v>0</v>
      </c>
      <c r="T56" s="20">
        <f t="shared" si="4"/>
        <v>222.6816</v>
      </c>
    </row>
    <row r="57" spans="1:20" x14ac:dyDescent="0.3">
      <c r="A57" s="12" t="str">
        <f t="shared" si="5"/>
        <v>ORD056</v>
      </c>
      <c r="B57" s="1" t="s">
        <v>15</v>
      </c>
      <c r="C57" s="4" t="str">
        <f>VLOOKUP(B57,SKUs!$A$2:$E$6,2,FALSE)</f>
        <v>Embroidered Kurta</v>
      </c>
      <c r="D57" s="1" t="s">
        <v>7</v>
      </c>
      <c r="E57" s="1" t="s">
        <v>37</v>
      </c>
      <c r="F57" s="1" t="s">
        <v>38</v>
      </c>
      <c r="G57" s="39">
        <f>VLOOKUP(Orders!B57,SKUs!$A$2:$D$6,3,FALSE)</f>
        <v>999</v>
      </c>
      <c r="H57" s="39">
        <f>VLOOKUP(B57,SKUs!$A$2:$D$6,4,FALSE)</f>
        <v>350</v>
      </c>
      <c r="I57" s="39">
        <f>VLOOKUP(B57,SKUs!$A$2:$E$6,5,FALSE)</f>
        <v>30</v>
      </c>
      <c r="J57" s="2">
        <f>VLOOKUP(D57,'Rates '!$A$2:$G$4,2,FALSE)</f>
        <v>0.12</v>
      </c>
      <c r="K57" s="3">
        <f>VLOOKUP(D57,'Rates '!$A$2:$G$4,3,FALSE)</f>
        <v>40</v>
      </c>
      <c r="L57" s="3">
        <f>VLOOKUP(D57,'Rates '!$A$2:$G$4,4,FALSE)</f>
        <v>60</v>
      </c>
      <c r="M57" s="3">
        <f>VLOOKUP(D57,'Rates '!$A$2:$G$4,5,FALSE)</f>
        <v>60</v>
      </c>
      <c r="N57" s="3">
        <f>VLOOKUP(D57,'Rates '!$A$2:$G$4,6,FALSE)</f>
        <v>35</v>
      </c>
      <c r="O57" s="45">
        <f>VLOOKUP(D57,'Rates '!$A$2:$G$4,7,FALSE)</f>
        <v>0.02</v>
      </c>
      <c r="P57" s="3">
        <f t="shared" si="0"/>
        <v>119.88</v>
      </c>
      <c r="Q57" s="3">
        <f t="shared" si="1"/>
        <v>28.778399999999998</v>
      </c>
      <c r="R57" s="3">
        <f t="shared" si="2"/>
        <v>54.980000000000004</v>
      </c>
      <c r="S57" s="3">
        <f t="shared" si="3"/>
        <v>0</v>
      </c>
      <c r="T57" s="20">
        <f t="shared" si="4"/>
        <v>315.36159999999995</v>
      </c>
    </row>
    <row r="58" spans="1:20" x14ac:dyDescent="0.3">
      <c r="A58" s="12" t="str">
        <f t="shared" si="5"/>
        <v>ORD057</v>
      </c>
      <c r="B58" s="1" t="s">
        <v>16</v>
      </c>
      <c r="C58" s="4" t="str">
        <f>VLOOKUP(B58,SKUs!$A$2:$E$6,2,FALSE)</f>
        <v>Designer Kurta</v>
      </c>
      <c r="D58" s="1" t="s">
        <v>7</v>
      </c>
      <c r="E58" s="1" t="s">
        <v>36</v>
      </c>
      <c r="F58" s="1" t="s">
        <v>38</v>
      </c>
      <c r="G58" s="39">
        <f>VLOOKUP(Orders!B58,SKUs!$A$2:$D$6,3,FALSE)</f>
        <v>1299</v>
      </c>
      <c r="H58" s="39">
        <f>VLOOKUP(B58,SKUs!$A$2:$D$6,4,FALSE)</f>
        <v>455</v>
      </c>
      <c r="I58" s="39">
        <f>VLOOKUP(B58,SKUs!$A$2:$E$6,5,FALSE)</f>
        <v>40</v>
      </c>
      <c r="J58" s="2">
        <f>VLOOKUP(D58,'Rates '!$A$2:$G$4,2,FALSE)</f>
        <v>0.12</v>
      </c>
      <c r="K58" s="3">
        <f>VLOOKUP(D58,'Rates '!$A$2:$G$4,3,FALSE)</f>
        <v>40</v>
      </c>
      <c r="L58" s="3">
        <f>VLOOKUP(D58,'Rates '!$A$2:$G$4,4,FALSE)</f>
        <v>60</v>
      </c>
      <c r="M58" s="3">
        <f>VLOOKUP(D58,'Rates '!$A$2:$G$4,5,FALSE)</f>
        <v>60</v>
      </c>
      <c r="N58" s="3">
        <f>VLOOKUP(D58,'Rates '!$A$2:$G$4,6,FALSE)</f>
        <v>35</v>
      </c>
      <c r="O58" s="45">
        <f>VLOOKUP(D58,'Rates '!$A$2:$G$4,7,FALSE)</f>
        <v>0.02</v>
      </c>
      <c r="P58" s="3">
        <f t="shared" si="0"/>
        <v>155.88</v>
      </c>
      <c r="Q58" s="3">
        <f t="shared" si="1"/>
        <v>35.258399999999995</v>
      </c>
      <c r="R58" s="3">
        <f t="shared" si="2"/>
        <v>0</v>
      </c>
      <c r="S58" s="3">
        <f t="shared" si="3"/>
        <v>0</v>
      </c>
      <c r="T58" s="20">
        <f t="shared" si="4"/>
        <v>512.86159999999995</v>
      </c>
    </row>
    <row r="59" spans="1:20" x14ac:dyDescent="0.3">
      <c r="A59" s="12" t="str">
        <f t="shared" si="5"/>
        <v>ORD058</v>
      </c>
      <c r="B59" s="1" t="s">
        <v>17</v>
      </c>
      <c r="C59" s="4" t="str">
        <f>VLOOKUP(B59,SKUs!$A$2:$E$6,2,FALSE)</f>
        <v>Premium Silk Kurta</v>
      </c>
      <c r="D59" s="1" t="s">
        <v>7</v>
      </c>
      <c r="E59" s="1" t="s">
        <v>36</v>
      </c>
      <c r="F59" s="1" t="s">
        <v>39</v>
      </c>
      <c r="G59" s="39">
        <f>VLOOKUP(Orders!B59,SKUs!$A$2:$D$6,3,FALSE)</f>
        <v>1899</v>
      </c>
      <c r="H59" s="39">
        <f>VLOOKUP(B59,SKUs!$A$2:$D$6,4,FALSE)</f>
        <v>645</v>
      </c>
      <c r="I59" s="39">
        <f>VLOOKUP(B59,SKUs!$A$2:$E$6,5,FALSE)</f>
        <v>45</v>
      </c>
      <c r="J59" s="2">
        <f>VLOOKUP(D59,'Rates '!$A$2:$G$4,2,FALSE)</f>
        <v>0.12</v>
      </c>
      <c r="K59" s="3">
        <f>VLOOKUP(D59,'Rates '!$A$2:$G$4,3,FALSE)</f>
        <v>40</v>
      </c>
      <c r="L59" s="3">
        <f>VLOOKUP(D59,'Rates '!$A$2:$G$4,4,FALSE)</f>
        <v>60</v>
      </c>
      <c r="M59" s="3">
        <f>VLOOKUP(D59,'Rates '!$A$2:$G$4,5,FALSE)</f>
        <v>60</v>
      </c>
      <c r="N59" s="3">
        <f>VLOOKUP(D59,'Rates '!$A$2:$G$4,6,FALSE)</f>
        <v>35</v>
      </c>
      <c r="O59" s="45">
        <f>VLOOKUP(D59,'Rates '!$A$2:$G$4,7,FALSE)</f>
        <v>0.02</v>
      </c>
      <c r="P59" s="3">
        <f t="shared" si="0"/>
        <v>227.88</v>
      </c>
      <c r="Q59" s="3">
        <f t="shared" si="1"/>
        <v>48.218399999999995</v>
      </c>
      <c r="R59" s="3">
        <f t="shared" si="2"/>
        <v>0</v>
      </c>
      <c r="S59" s="3">
        <f t="shared" si="3"/>
        <v>60</v>
      </c>
      <c r="T59" s="20">
        <f t="shared" si="4"/>
        <v>-165</v>
      </c>
    </row>
    <row r="60" spans="1:20" x14ac:dyDescent="0.3">
      <c r="A60" s="12" t="str">
        <f t="shared" si="5"/>
        <v>ORD059</v>
      </c>
      <c r="B60" s="1" t="s">
        <v>14</v>
      </c>
      <c r="C60" s="4" t="str">
        <f>VLOOKUP(B60,SKUs!$A$2:$E$6,2,FALSE)</f>
        <v>Printed Kurta</v>
      </c>
      <c r="D60" s="1" t="s">
        <v>8</v>
      </c>
      <c r="E60" s="1" t="s">
        <v>36</v>
      </c>
      <c r="F60" s="1" t="s">
        <v>38</v>
      </c>
      <c r="G60" s="39">
        <f>VLOOKUP(Orders!B60,SKUs!$A$2:$D$6,3,FALSE)</f>
        <v>799</v>
      </c>
      <c r="H60" s="39">
        <f>VLOOKUP(B60,SKUs!$A$2:$D$6,4,FALSE)</f>
        <v>280</v>
      </c>
      <c r="I60" s="39">
        <f>VLOOKUP(B60,SKUs!$A$2:$E$6,5,FALSE)</f>
        <v>25</v>
      </c>
      <c r="J60" s="2">
        <f>VLOOKUP(D60,'Rates '!$A$2:$G$4,2,FALSE)</f>
        <v>0.02</v>
      </c>
      <c r="K60" s="3">
        <f>VLOOKUP(D60,'Rates '!$A$2:$G$4,3,FALSE)</f>
        <v>0</v>
      </c>
      <c r="L60" s="3">
        <f>VLOOKUP(D60,'Rates '!$A$2:$G$4,4,FALSE)</f>
        <v>75</v>
      </c>
      <c r="M60" s="3">
        <f>VLOOKUP(D60,'Rates '!$A$2:$G$4,5,FALSE)</f>
        <v>75</v>
      </c>
      <c r="N60" s="3">
        <f>VLOOKUP(D60,'Rates '!$A$2:$G$4,6,FALSE)</f>
        <v>0</v>
      </c>
      <c r="O60" s="45">
        <f>VLOOKUP(D60,'Rates '!$A$2:$G$4,7,FALSE)</f>
        <v>0</v>
      </c>
      <c r="P60" s="3">
        <f t="shared" si="0"/>
        <v>15.98</v>
      </c>
      <c r="Q60" s="3">
        <f t="shared" si="1"/>
        <v>2.8763999999999998</v>
      </c>
      <c r="R60" s="3">
        <f t="shared" si="2"/>
        <v>0</v>
      </c>
      <c r="S60" s="3">
        <f t="shared" si="3"/>
        <v>0</v>
      </c>
      <c r="T60" s="20">
        <f t="shared" si="4"/>
        <v>400.14359999999999</v>
      </c>
    </row>
    <row r="61" spans="1:20" x14ac:dyDescent="0.3">
      <c r="A61" s="12" t="str">
        <f t="shared" si="5"/>
        <v>ORD060</v>
      </c>
      <c r="B61" s="1" t="s">
        <v>15</v>
      </c>
      <c r="C61" s="4" t="str">
        <f>VLOOKUP(B61,SKUs!$A$2:$E$6,2,FALSE)</f>
        <v>Embroidered Kurta</v>
      </c>
      <c r="D61" s="1" t="s">
        <v>6</v>
      </c>
      <c r="E61" s="1" t="s">
        <v>36</v>
      </c>
      <c r="F61" s="1" t="s">
        <v>38</v>
      </c>
      <c r="G61" s="39">
        <f>VLOOKUP(Orders!B61,SKUs!$A$2:$D$6,3,FALSE)</f>
        <v>999</v>
      </c>
      <c r="H61" s="39">
        <f>VLOOKUP(B61,SKUs!$A$2:$D$6,4,FALSE)</f>
        <v>350</v>
      </c>
      <c r="I61" s="39">
        <f>VLOOKUP(B61,SKUs!$A$2:$E$6,5,FALSE)</f>
        <v>30</v>
      </c>
      <c r="J61" s="2">
        <f>VLOOKUP(D61,'Rates '!$A$2:$G$4,2,FALSE)</f>
        <v>0.22</v>
      </c>
      <c r="K61" s="3">
        <f>VLOOKUP(D61,'Rates '!$A$2:$G$4,3,FALSE)</f>
        <v>70</v>
      </c>
      <c r="L61" s="3">
        <f>VLOOKUP(D61,'Rates '!$A$2:$G$4,4,FALSE)</f>
        <v>70</v>
      </c>
      <c r="M61" s="3">
        <f>VLOOKUP(D61,'Rates '!$A$2:$G$4,5,FALSE)</f>
        <v>70</v>
      </c>
      <c r="N61" s="3">
        <f>VLOOKUP(D61,'Rates '!$A$2:$G$4,6,FALSE)</f>
        <v>35</v>
      </c>
      <c r="O61" s="45">
        <f>VLOOKUP(D61,'Rates '!$A$2:$G$4,7,FALSE)</f>
        <v>0.02</v>
      </c>
      <c r="P61" s="3">
        <f t="shared" si="0"/>
        <v>219.78</v>
      </c>
      <c r="Q61" s="3">
        <f t="shared" si="1"/>
        <v>52.160399999999996</v>
      </c>
      <c r="R61" s="3">
        <f t="shared" si="2"/>
        <v>0</v>
      </c>
      <c r="S61" s="3">
        <f t="shared" si="3"/>
        <v>0</v>
      </c>
      <c r="T61" s="20">
        <f t="shared" si="4"/>
        <v>207.05960000000005</v>
      </c>
    </row>
    <row r="62" spans="1:20" x14ac:dyDescent="0.3">
      <c r="A62" s="12" t="str">
        <f t="shared" si="5"/>
        <v>ORD061</v>
      </c>
      <c r="B62" s="1" t="s">
        <v>14</v>
      </c>
      <c r="C62" s="4" t="str">
        <f>VLOOKUP(B62,SKUs!$A$2:$E$6,2,FALSE)</f>
        <v>Printed Kurta</v>
      </c>
      <c r="D62" s="1" t="s">
        <v>7</v>
      </c>
      <c r="E62" s="1" t="s">
        <v>37</v>
      </c>
      <c r="F62" s="1" t="s">
        <v>39</v>
      </c>
      <c r="G62" s="39">
        <f>VLOOKUP(Orders!B62,SKUs!$A$2:$D$6,3,FALSE)</f>
        <v>799</v>
      </c>
      <c r="H62" s="39">
        <f>VLOOKUP(B62,SKUs!$A$2:$D$6,4,FALSE)</f>
        <v>280</v>
      </c>
      <c r="I62" s="39">
        <f>VLOOKUP(B62,SKUs!$A$2:$E$6,5,FALSE)</f>
        <v>25</v>
      </c>
      <c r="J62" s="2">
        <f>VLOOKUP(D62,'Rates '!$A$2:$G$4,2,FALSE)</f>
        <v>0.12</v>
      </c>
      <c r="K62" s="3">
        <f>VLOOKUP(D62,'Rates '!$A$2:$G$4,3,FALSE)</f>
        <v>40</v>
      </c>
      <c r="L62" s="3">
        <f>VLOOKUP(D62,'Rates '!$A$2:$G$4,4,FALSE)</f>
        <v>60</v>
      </c>
      <c r="M62" s="3">
        <f>VLOOKUP(D62,'Rates '!$A$2:$G$4,5,FALSE)</f>
        <v>60</v>
      </c>
      <c r="N62" s="3">
        <f>VLOOKUP(D62,'Rates '!$A$2:$G$4,6,FALSE)</f>
        <v>35</v>
      </c>
      <c r="O62" s="45">
        <f>VLOOKUP(D62,'Rates '!$A$2:$G$4,7,FALSE)</f>
        <v>0.02</v>
      </c>
      <c r="P62" s="3">
        <f t="shared" si="0"/>
        <v>95.88</v>
      </c>
      <c r="Q62" s="3">
        <f t="shared" si="1"/>
        <v>24.458399999999997</v>
      </c>
      <c r="R62" s="3">
        <f t="shared" si="2"/>
        <v>50.980000000000004</v>
      </c>
      <c r="S62" s="3">
        <f t="shared" si="3"/>
        <v>60</v>
      </c>
      <c r="T62" s="20">
        <f t="shared" si="4"/>
        <v>-195.98000000000002</v>
      </c>
    </row>
    <row r="63" spans="1:20" x14ac:dyDescent="0.3">
      <c r="A63" s="12" t="str">
        <f t="shared" si="5"/>
        <v>ORD062</v>
      </c>
      <c r="B63" s="1" t="s">
        <v>17</v>
      </c>
      <c r="C63" s="4" t="str">
        <f>VLOOKUP(B63,SKUs!$A$2:$E$6,2,FALSE)</f>
        <v>Premium Silk Kurta</v>
      </c>
      <c r="D63" s="1" t="s">
        <v>6</v>
      </c>
      <c r="E63" s="1" t="s">
        <v>37</v>
      </c>
      <c r="F63" s="1" t="s">
        <v>39</v>
      </c>
      <c r="G63" s="39">
        <f>VLOOKUP(Orders!B63,SKUs!$A$2:$D$6,3,FALSE)</f>
        <v>1899</v>
      </c>
      <c r="H63" s="39">
        <f>VLOOKUP(B63,SKUs!$A$2:$D$6,4,FALSE)</f>
        <v>645</v>
      </c>
      <c r="I63" s="39">
        <f>VLOOKUP(B63,SKUs!$A$2:$E$6,5,FALSE)</f>
        <v>45</v>
      </c>
      <c r="J63" s="2">
        <f>VLOOKUP(D63,'Rates '!$A$2:$G$4,2,FALSE)</f>
        <v>0.22</v>
      </c>
      <c r="K63" s="3">
        <f>VLOOKUP(D63,'Rates '!$A$2:$G$4,3,FALSE)</f>
        <v>70</v>
      </c>
      <c r="L63" s="3">
        <f>VLOOKUP(D63,'Rates '!$A$2:$G$4,4,FALSE)</f>
        <v>70</v>
      </c>
      <c r="M63" s="3">
        <f>VLOOKUP(D63,'Rates '!$A$2:$G$4,5,FALSE)</f>
        <v>70</v>
      </c>
      <c r="N63" s="3">
        <f>VLOOKUP(D63,'Rates '!$A$2:$G$4,6,FALSE)</f>
        <v>35</v>
      </c>
      <c r="O63" s="45">
        <f>VLOOKUP(D63,'Rates '!$A$2:$G$4,7,FALSE)</f>
        <v>0.02</v>
      </c>
      <c r="P63" s="3">
        <f t="shared" si="0"/>
        <v>417.78000000000003</v>
      </c>
      <c r="Q63" s="3">
        <f t="shared" si="1"/>
        <v>87.800399999999996</v>
      </c>
      <c r="R63" s="3">
        <f t="shared" si="2"/>
        <v>72.98</v>
      </c>
      <c r="S63" s="3">
        <f t="shared" si="3"/>
        <v>70</v>
      </c>
      <c r="T63" s="20">
        <f t="shared" si="4"/>
        <v>-257.98</v>
      </c>
    </row>
    <row r="64" spans="1:20" x14ac:dyDescent="0.3">
      <c r="A64" s="12" t="str">
        <f t="shared" si="5"/>
        <v>ORD063</v>
      </c>
      <c r="B64" s="1" t="s">
        <v>15</v>
      </c>
      <c r="C64" s="4" t="str">
        <f>VLOOKUP(B64,SKUs!$A$2:$E$6,2,FALSE)</f>
        <v>Embroidered Kurta</v>
      </c>
      <c r="D64" s="1" t="s">
        <v>8</v>
      </c>
      <c r="E64" s="1" t="s">
        <v>36</v>
      </c>
      <c r="F64" s="1" t="s">
        <v>39</v>
      </c>
      <c r="G64" s="39">
        <f>VLOOKUP(Orders!B64,SKUs!$A$2:$D$6,3,FALSE)</f>
        <v>999</v>
      </c>
      <c r="H64" s="39">
        <f>VLOOKUP(B64,SKUs!$A$2:$D$6,4,FALSE)</f>
        <v>350</v>
      </c>
      <c r="I64" s="39">
        <f>VLOOKUP(B64,SKUs!$A$2:$E$6,5,FALSE)</f>
        <v>30</v>
      </c>
      <c r="J64" s="2">
        <f>VLOOKUP(D64,'Rates '!$A$2:$G$4,2,FALSE)</f>
        <v>0.02</v>
      </c>
      <c r="K64" s="3">
        <f>VLOOKUP(D64,'Rates '!$A$2:$G$4,3,FALSE)</f>
        <v>0</v>
      </c>
      <c r="L64" s="3">
        <f>VLOOKUP(D64,'Rates '!$A$2:$G$4,4,FALSE)</f>
        <v>75</v>
      </c>
      <c r="M64" s="3">
        <f>VLOOKUP(D64,'Rates '!$A$2:$G$4,5,FALSE)</f>
        <v>75</v>
      </c>
      <c r="N64" s="3">
        <f>VLOOKUP(D64,'Rates '!$A$2:$G$4,6,FALSE)</f>
        <v>0</v>
      </c>
      <c r="O64" s="45">
        <f>VLOOKUP(D64,'Rates '!$A$2:$G$4,7,FALSE)</f>
        <v>0</v>
      </c>
      <c r="P64" s="3">
        <f t="shared" si="0"/>
        <v>19.98</v>
      </c>
      <c r="Q64" s="3">
        <f t="shared" si="1"/>
        <v>3.5964</v>
      </c>
      <c r="R64" s="3">
        <f t="shared" si="2"/>
        <v>0</v>
      </c>
      <c r="S64" s="3">
        <f t="shared" si="3"/>
        <v>75</v>
      </c>
      <c r="T64" s="20">
        <f t="shared" si="4"/>
        <v>-180</v>
      </c>
    </row>
    <row r="65" spans="1:20" x14ac:dyDescent="0.3">
      <c r="A65" s="12" t="str">
        <f t="shared" si="5"/>
        <v>ORD064</v>
      </c>
      <c r="B65" s="1" t="s">
        <v>13</v>
      </c>
      <c r="C65" s="4" t="str">
        <f>VLOOKUP(B65,SKUs!$A$2:$E$6,2,FALSE)</f>
        <v>Basic Cotton Kurta</v>
      </c>
      <c r="D65" s="1" t="s">
        <v>6</v>
      </c>
      <c r="E65" s="1" t="s">
        <v>37</v>
      </c>
      <c r="F65" s="1" t="s">
        <v>38</v>
      </c>
      <c r="G65" s="39">
        <f>VLOOKUP(Orders!B65,SKUs!$A$2:$D$6,3,FALSE)</f>
        <v>599</v>
      </c>
      <c r="H65" s="39">
        <f>VLOOKUP(B65,SKUs!$A$2:$D$6,4,FALSE)</f>
        <v>210</v>
      </c>
      <c r="I65" s="39">
        <f>VLOOKUP(B65,SKUs!$A$2:$E$6,5,FALSE)</f>
        <v>20</v>
      </c>
      <c r="J65" s="2">
        <f>VLOOKUP(D65,'Rates '!$A$2:$G$4,2,FALSE)</f>
        <v>0.22</v>
      </c>
      <c r="K65" s="3">
        <f>VLOOKUP(D65,'Rates '!$A$2:$G$4,3,FALSE)</f>
        <v>70</v>
      </c>
      <c r="L65" s="3">
        <f>VLOOKUP(D65,'Rates '!$A$2:$G$4,4,FALSE)</f>
        <v>70</v>
      </c>
      <c r="M65" s="3">
        <f>VLOOKUP(D65,'Rates '!$A$2:$G$4,5,FALSE)</f>
        <v>70</v>
      </c>
      <c r="N65" s="3">
        <f>VLOOKUP(D65,'Rates '!$A$2:$G$4,6,FALSE)</f>
        <v>35</v>
      </c>
      <c r="O65" s="45">
        <f>VLOOKUP(D65,'Rates '!$A$2:$G$4,7,FALSE)</f>
        <v>0.02</v>
      </c>
      <c r="P65" s="3">
        <f t="shared" si="0"/>
        <v>131.78</v>
      </c>
      <c r="Q65" s="3">
        <f t="shared" si="1"/>
        <v>36.320399999999999</v>
      </c>
      <c r="R65" s="3">
        <f t="shared" si="2"/>
        <v>46.980000000000004</v>
      </c>
      <c r="S65" s="3">
        <f t="shared" si="3"/>
        <v>0</v>
      </c>
      <c r="T65" s="20">
        <f t="shared" si="4"/>
        <v>13.919600000000003</v>
      </c>
    </row>
    <row r="66" spans="1:20" x14ac:dyDescent="0.3">
      <c r="A66" s="12" t="str">
        <f t="shared" si="5"/>
        <v>ORD065</v>
      </c>
      <c r="B66" s="1" t="s">
        <v>17</v>
      </c>
      <c r="C66" s="4" t="str">
        <f>VLOOKUP(B66,SKUs!$A$2:$E$6,2,FALSE)</f>
        <v>Premium Silk Kurta</v>
      </c>
      <c r="D66" s="1" t="s">
        <v>6</v>
      </c>
      <c r="E66" s="1" t="s">
        <v>36</v>
      </c>
      <c r="F66" s="1" t="s">
        <v>39</v>
      </c>
      <c r="G66" s="39">
        <f>VLOOKUP(Orders!B66,SKUs!$A$2:$D$6,3,FALSE)</f>
        <v>1899</v>
      </c>
      <c r="H66" s="39">
        <f>VLOOKUP(B66,SKUs!$A$2:$D$6,4,FALSE)</f>
        <v>645</v>
      </c>
      <c r="I66" s="39">
        <f>VLOOKUP(B66,SKUs!$A$2:$E$6,5,FALSE)</f>
        <v>45</v>
      </c>
      <c r="J66" s="2">
        <f>VLOOKUP(D66,'Rates '!$A$2:$G$4,2,FALSE)</f>
        <v>0.22</v>
      </c>
      <c r="K66" s="3">
        <f>VLOOKUP(D66,'Rates '!$A$2:$G$4,3,FALSE)</f>
        <v>70</v>
      </c>
      <c r="L66" s="3">
        <f>VLOOKUP(D66,'Rates '!$A$2:$G$4,4,FALSE)</f>
        <v>70</v>
      </c>
      <c r="M66" s="3">
        <f>VLOOKUP(D66,'Rates '!$A$2:$G$4,5,FALSE)</f>
        <v>70</v>
      </c>
      <c r="N66" s="3">
        <f>VLOOKUP(D66,'Rates '!$A$2:$G$4,6,FALSE)</f>
        <v>35</v>
      </c>
      <c r="O66" s="45">
        <f>VLOOKUP(D66,'Rates '!$A$2:$G$4,7,FALSE)</f>
        <v>0.02</v>
      </c>
      <c r="P66" s="3">
        <f t="shared" si="0"/>
        <v>417.78000000000003</v>
      </c>
      <c r="Q66" s="3">
        <f t="shared" si="1"/>
        <v>87.800399999999996</v>
      </c>
      <c r="R66" s="3">
        <f t="shared" si="2"/>
        <v>0</v>
      </c>
      <c r="S66" s="3">
        <f t="shared" si="3"/>
        <v>70</v>
      </c>
      <c r="T66" s="20">
        <f t="shared" si="4"/>
        <v>-185</v>
      </c>
    </row>
    <row r="67" spans="1:20" x14ac:dyDescent="0.3">
      <c r="A67" s="12" t="str">
        <f t="shared" si="5"/>
        <v>ORD066</v>
      </c>
      <c r="B67" s="1" t="s">
        <v>14</v>
      </c>
      <c r="C67" s="4" t="str">
        <f>VLOOKUP(B67,SKUs!$A$2:$E$6,2,FALSE)</f>
        <v>Printed Kurta</v>
      </c>
      <c r="D67" s="1" t="s">
        <v>7</v>
      </c>
      <c r="E67" s="1" t="s">
        <v>37</v>
      </c>
      <c r="F67" s="1" t="s">
        <v>39</v>
      </c>
      <c r="G67" s="39">
        <f>VLOOKUP(Orders!B67,SKUs!$A$2:$D$6,3,FALSE)</f>
        <v>799</v>
      </c>
      <c r="H67" s="39">
        <f>VLOOKUP(B67,SKUs!$A$2:$D$6,4,FALSE)</f>
        <v>280</v>
      </c>
      <c r="I67" s="39">
        <f>VLOOKUP(B67,SKUs!$A$2:$E$6,5,FALSE)</f>
        <v>25</v>
      </c>
      <c r="J67" s="2">
        <f>VLOOKUP(D67,'Rates '!$A$2:$G$4,2,FALSE)</f>
        <v>0.12</v>
      </c>
      <c r="K67" s="3">
        <f>VLOOKUP(D67,'Rates '!$A$2:$G$4,3,FALSE)</f>
        <v>40</v>
      </c>
      <c r="L67" s="3">
        <f>VLOOKUP(D67,'Rates '!$A$2:$G$4,4,FALSE)</f>
        <v>60</v>
      </c>
      <c r="M67" s="3">
        <f>VLOOKUP(D67,'Rates '!$A$2:$G$4,5,FALSE)</f>
        <v>60</v>
      </c>
      <c r="N67" s="3">
        <f>VLOOKUP(D67,'Rates '!$A$2:$G$4,6,FALSE)</f>
        <v>35</v>
      </c>
      <c r="O67" s="45">
        <f>VLOOKUP(D67,'Rates '!$A$2:$G$4,7,FALSE)</f>
        <v>0.02</v>
      </c>
      <c r="P67" s="3">
        <f t="shared" ref="P67:P101" si="6">G67*J67</f>
        <v>95.88</v>
      </c>
      <c r="Q67" s="3">
        <f t="shared" ref="Q67:Q101" si="7">(P67+K67)*0.18</f>
        <v>24.458399999999997</v>
      </c>
      <c r="R67" s="3">
        <f t="shared" ref="R67:R101" si="8">IF(E67="COD",N67+(O67*G67),0)</f>
        <v>50.980000000000004</v>
      </c>
      <c r="S67" s="3">
        <f t="shared" ref="S67:S101" si="9">IF(F67="Returned",M67,0)</f>
        <v>60</v>
      </c>
      <c r="T67" s="20">
        <f t="shared" ref="T67:T101" si="10">IF(F67="Delivered",(G67-I67-K67-L67-P67-Q67-R67-H67),-(L67+R67+I67+S67))</f>
        <v>-195.98000000000002</v>
      </c>
    </row>
    <row r="68" spans="1:20" x14ac:dyDescent="0.3">
      <c r="A68" s="12" t="str">
        <f t="shared" ref="A68:A101" si="11">"ORD"&amp;TEXT(ROW(A68)-1, "000")</f>
        <v>ORD067</v>
      </c>
      <c r="B68" s="1" t="s">
        <v>16</v>
      </c>
      <c r="C68" s="4" t="str">
        <f>VLOOKUP(B68,SKUs!$A$2:$E$6,2,FALSE)</f>
        <v>Designer Kurta</v>
      </c>
      <c r="D68" s="1" t="s">
        <v>7</v>
      </c>
      <c r="E68" s="1" t="s">
        <v>36</v>
      </c>
      <c r="F68" s="1" t="s">
        <v>38</v>
      </c>
      <c r="G68" s="39">
        <f>VLOOKUP(Orders!B68,SKUs!$A$2:$D$6,3,FALSE)</f>
        <v>1299</v>
      </c>
      <c r="H68" s="39">
        <f>VLOOKUP(B68,SKUs!$A$2:$D$6,4,FALSE)</f>
        <v>455</v>
      </c>
      <c r="I68" s="39">
        <f>VLOOKUP(B68,SKUs!$A$2:$E$6,5,FALSE)</f>
        <v>40</v>
      </c>
      <c r="J68" s="2">
        <f>VLOOKUP(D68,'Rates '!$A$2:$G$4,2,FALSE)</f>
        <v>0.12</v>
      </c>
      <c r="K68" s="3">
        <f>VLOOKUP(D68,'Rates '!$A$2:$G$4,3,FALSE)</f>
        <v>40</v>
      </c>
      <c r="L68" s="3">
        <f>VLOOKUP(D68,'Rates '!$A$2:$G$4,4,FALSE)</f>
        <v>60</v>
      </c>
      <c r="M68" s="3">
        <f>VLOOKUP(D68,'Rates '!$A$2:$G$4,5,FALSE)</f>
        <v>60</v>
      </c>
      <c r="N68" s="3">
        <f>VLOOKUP(D68,'Rates '!$A$2:$G$4,6,FALSE)</f>
        <v>35</v>
      </c>
      <c r="O68" s="45">
        <f>VLOOKUP(D68,'Rates '!$A$2:$G$4,7,FALSE)</f>
        <v>0.02</v>
      </c>
      <c r="P68" s="3">
        <f t="shared" si="6"/>
        <v>155.88</v>
      </c>
      <c r="Q68" s="3">
        <f t="shared" si="7"/>
        <v>35.258399999999995</v>
      </c>
      <c r="R68" s="3">
        <f t="shared" si="8"/>
        <v>0</v>
      </c>
      <c r="S68" s="3">
        <f t="shared" si="9"/>
        <v>0</v>
      </c>
      <c r="T68" s="20">
        <f t="shared" si="10"/>
        <v>512.86159999999995</v>
      </c>
    </row>
    <row r="69" spans="1:20" x14ac:dyDescent="0.3">
      <c r="A69" s="12" t="str">
        <f t="shared" si="11"/>
        <v>ORD068</v>
      </c>
      <c r="B69" s="1" t="s">
        <v>15</v>
      </c>
      <c r="C69" s="4" t="str">
        <f>VLOOKUP(B69,SKUs!$A$2:$E$6,2,FALSE)</f>
        <v>Embroidered Kurta</v>
      </c>
      <c r="D69" s="1" t="s">
        <v>6</v>
      </c>
      <c r="E69" s="1" t="s">
        <v>37</v>
      </c>
      <c r="F69" s="1" t="s">
        <v>38</v>
      </c>
      <c r="G69" s="39">
        <f>VLOOKUP(Orders!B69,SKUs!$A$2:$D$6,3,FALSE)</f>
        <v>999</v>
      </c>
      <c r="H69" s="39">
        <f>VLOOKUP(B69,SKUs!$A$2:$D$6,4,FALSE)</f>
        <v>350</v>
      </c>
      <c r="I69" s="39">
        <f>VLOOKUP(B69,SKUs!$A$2:$E$6,5,FALSE)</f>
        <v>30</v>
      </c>
      <c r="J69" s="2">
        <f>VLOOKUP(D69,'Rates '!$A$2:$G$4,2,FALSE)</f>
        <v>0.22</v>
      </c>
      <c r="K69" s="3">
        <f>VLOOKUP(D69,'Rates '!$A$2:$G$4,3,FALSE)</f>
        <v>70</v>
      </c>
      <c r="L69" s="3">
        <f>VLOOKUP(D69,'Rates '!$A$2:$G$4,4,FALSE)</f>
        <v>70</v>
      </c>
      <c r="M69" s="3">
        <f>VLOOKUP(D69,'Rates '!$A$2:$G$4,5,FALSE)</f>
        <v>70</v>
      </c>
      <c r="N69" s="3">
        <f>VLOOKUP(D69,'Rates '!$A$2:$G$4,6,FALSE)</f>
        <v>35</v>
      </c>
      <c r="O69" s="45">
        <f>VLOOKUP(D69,'Rates '!$A$2:$G$4,7,FALSE)</f>
        <v>0.02</v>
      </c>
      <c r="P69" s="3">
        <f t="shared" si="6"/>
        <v>219.78</v>
      </c>
      <c r="Q69" s="3">
        <f t="shared" si="7"/>
        <v>52.160399999999996</v>
      </c>
      <c r="R69" s="3">
        <f t="shared" si="8"/>
        <v>54.980000000000004</v>
      </c>
      <c r="S69" s="3">
        <f t="shared" si="9"/>
        <v>0</v>
      </c>
      <c r="T69" s="20">
        <f t="shared" si="10"/>
        <v>152.07960000000003</v>
      </c>
    </row>
    <row r="70" spans="1:20" x14ac:dyDescent="0.3">
      <c r="A70" s="12" t="str">
        <f t="shared" si="11"/>
        <v>ORD069</v>
      </c>
      <c r="B70" s="1" t="s">
        <v>15</v>
      </c>
      <c r="C70" s="4" t="str">
        <f>VLOOKUP(B70,SKUs!$A$2:$E$6,2,FALSE)</f>
        <v>Embroidered Kurta</v>
      </c>
      <c r="D70" s="1" t="s">
        <v>6</v>
      </c>
      <c r="E70" s="1" t="s">
        <v>37</v>
      </c>
      <c r="F70" s="1" t="s">
        <v>38</v>
      </c>
      <c r="G70" s="39">
        <f>VLOOKUP(Orders!B70,SKUs!$A$2:$D$6,3,FALSE)</f>
        <v>999</v>
      </c>
      <c r="H70" s="39">
        <f>VLOOKUP(B70,SKUs!$A$2:$D$6,4,FALSE)</f>
        <v>350</v>
      </c>
      <c r="I70" s="39">
        <f>VLOOKUP(B70,SKUs!$A$2:$E$6,5,FALSE)</f>
        <v>30</v>
      </c>
      <c r="J70" s="2">
        <f>VLOOKUP(D70,'Rates '!$A$2:$G$4,2,FALSE)</f>
        <v>0.22</v>
      </c>
      <c r="K70" s="3">
        <f>VLOOKUP(D70,'Rates '!$A$2:$G$4,3,FALSE)</f>
        <v>70</v>
      </c>
      <c r="L70" s="3">
        <f>VLOOKUP(D70,'Rates '!$A$2:$G$4,4,FALSE)</f>
        <v>70</v>
      </c>
      <c r="M70" s="3">
        <f>VLOOKUP(D70,'Rates '!$A$2:$G$4,5,FALSE)</f>
        <v>70</v>
      </c>
      <c r="N70" s="3">
        <f>VLOOKUP(D70,'Rates '!$A$2:$G$4,6,FALSE)</f>
        <v>35</v>
      </c>
      <c r="O70" s="45">
        <f>VLOOKUP(D70,'Rates '!$A$2:$G$4,7,FALSE)</f>
        <v>0.02</v>
      </c>
      <c r="P70" s="3">
        <f t="shared" si="6"/>
        <v>219.78</v>
      </c>
      <c r="Q70" s="3">
        <f t="shared" si="7"/>
        <v>52.160399999999996</v>
      </c>
      <c r="R70" s="3">
        <f t="shared" si="8"/>
        <v>54.980000000000004</v>
      </c>
      <c r="S70" s="3">
        <f t="shared" si="9"/>
        <v>0</v>
      </c>
      <c r="T70" s="20">
        <f t="shared" si="10"/>
        <v>152.07960000000003</v>
      </c>
    </row>
    <row r="71" spans="1:20" x14ac:dyDescent="0.3">
      <c r="A71" s="12" t="str">
        <f t="shared" si="11"/>
        <v>ORD070</v>
      </c>
      <c r="B71" s="1" t="s">
        <v>16</v>
      </c>
      <c r="C71" s="4" t="str">
        <f>VLOOKUP(B71,SKUs!$A$2:$E$6,2,FALSE)</f>
        <v>Designer Kurta</v>
      </c>
      <c r="D71" s="1" t="s">
        <v>8</v>
      </c>
      <c r="E71" s="1" t="s">
        <v>36</v>
      </c>
      <c r="F71" s="1" t="s">
        <v>38</v>
      </c>
      <c r="G71" s="39">
        <f>VLOOKUP(Orders!B71,SKUs!$A$2:$D$6,3,FALSE)</f>
        <v>1299</v>
      </c>
      <c r="H71" s="39">
        <f>VLOOKUP(B71,SKUs!$A$2:$D$6,4,FALSE)</f>
        <v>455</v>
      </c>
      <c r="I71" s="39">
        <f>VLOOKUP(B71,SKUs!$A$2:$E$6,5,FALSE)</f>
        <v>40</v>
      </c>
      <c r="J71" s="2">
        <f>VLOOKUP(D71,'Rates '!$A$2:$G$4,2,FALSE)</f>
        <v>0.02</v>
      </c>
      <c r="K71" s="3">
        <f>VLOOKUP(D71,'Rates '!$A$2:$G$4,3,FALSE)</f>
        <v>0</v>
      </c>
      <c r="L71" s="3">
        <f>VLOOKUP(D71,'Rates '!$A$2:$G$4,4,FALSE)</f>
        <v>75</v>
      </c>
      <c r="M71" s="3">
        <f>VLOOKUP(D71,'Rates '!$A$2:$G$4,5,FALSE)</f>
        <v>75</v>
      </c>
      <c r="N71" s="3">
        <f>VLOOKUP(D71,'Rates '!$A$2:$G$4,6,FALSE)</f>
        <v>0</v>
      </c>
      <c r="O71" s="45">
        <f>VLOOKUP(D71,'Rates '!$A$2:$G$4,7,FALSE)</f>
        <v>0</v>
      </c>
      <c r="P71" s="3">
        <f t="shared" si="6"/>
        <v>25.98</v>
      </c>
      <c r="Q71" s="3">
        <f t="shared" si="7"/>
        <v>4.6764000000000001</v>
      </c>
      <c r="R71" s="3">
        <f t="shared" si="8"/>
        <v>0</v>
      </c>
      <c r="S71" s="3">
        <f t="shared" si="9"/>
        <v>0</v>
      </c>
      <c r="T71" s="20">
        <f t="shared" si="10"/>
        <v>698.34359999999992</v>
      </c>
    </row>
    <row r="72" spans="1:20" x14ac:dyDescent="0.3">
      <c r="A72" s="12" t="str">
        <f t="shared" si="11"/>
        <v>ORD071</v>
      </c>
      <c r="B72" s="1" t="s">
        <v>15</v>
      </c>
      <c r="C72" s="4" t="str">
        <f>VLOOKUP(B72,SKUs!$A$2:$E$6,2,FALSE)</f>
        <v>Embroidered Kurta</v>
      </c>
      <c r="D72" s="1" t="s">
        <v>7</v>
      </c>
      <c r="E72" s="1" t="s">
        <v>36</v>
      </c>
      <c r="F72" s="1" t="s">
        <v>38</v>
      </c>
      <c r="G72" s="39">
        <f>VLOOKUP(Orders!B72,SKUs!$A$2:$D$6,3,FALSE)</f>
        <v>999</v>
      </c>
      <c r="H72" s="39">
        <f>VLOOKUP(B72,SKUs!$A$2:$D$6,4,FALSE)</f>
        <v>350</v>
      </c>
      <c r="I72" s="39">
        <f>VLOOKUP(B72,SKUs!$A$2:$E$6,5,FALSE)</f>
        <v>30</v>
      </c>
      <c r="J72" s="2">
        <f>VLOOKUP(D72,'Rates '!$A$2:$G$4,2,FALSE)</f>
        <v>0.12</v>
      </c>
      <c r="K72" s="3">
        <f>VLOOKUP(D72,'Rates '!$A$2:$G$4,3,FALSE)</f>
        <v>40</v>
      </c>
      <c r="L72" s="3">
        <f>VLOOKUP(D72,'Rates '!$A$2:$G$4,4,FALSE)</f>
        <v>60</v>
      </c>
      <c r="M72" s="3">
        <f>VLOOKUP(D72,'Rates '!$A$2:$G$4,5,FALSE)</f>
        <v>60</v>
      </c>
      <c r="N72" s="3">
        <f>VLOOKUP(D72,'Rates '!$A$2:$G$4,6,FALSE)</f>
        <v>35</v>
      </c>
      <c r="O72" s="45">
        <f>VLOOKUP(D72,'Rates '!$A$2:$G$4,7,FALSE)</f>
        <v>0.02</v>
      </c>
      <c r="P72" s="3">
        <f t="shared" si="6"/>
        <v>119.88</v>
      </c>
      <c r="Q72" s="3">
        <f t="shared" si="7"/>
        <v>28.778399999999998</v>
      </c>
      <c r="R72" s="3">
        <f t="shared" si="8"/>
        <v>0</v>
      </c>
      <c r="S72" s="3">
        <f t="shared" si="9"/>
        <v>0</v>
      </c>
      <c r="T72" s="20">
        <f t="shared" si="10"/>
        <v>370.34159999999997</v>
      </c>
    </row>
    <row r="73" spans="1:20" x14ac:dyDescent="0.3">
      <c r="A73" s="12" t="str">
        <f t="shared" si="11"/>
        <v>ORD072</v>
      </c>
      <c r="B73" s="1" t="s">
        <v>15</v>
      </c>
      <c r="C73" s="4" t="str">
        <f>VLOOKUP(B73,SKUs!$A$2:$E$6,2,FALSE)</f>
        <v>Embroidered Kurta</v>
      </c>
      <c r="D73" s="1" t="s">
        <v>8</v>
      </c>
      <c r="E73" s="1" t="s">
        <v>36</v>
      </c>
      <c r="F73" s="1" t="s">
        <v>38</v>
      </c>
      <c r="G73" s="39">
        <f>VLOOKUP(Orders!B73,SKUs!$A$2:$D$6,3,FALSE)</f>
        <v>999</v>
      </c>
      <c r="H73" s="39">
        <f>VLOOKUP(B73,SKUs!$A$2:$D$6,4,FALSE)</f>
        <v>350</v>
      </c>
      <c r="I73" s="39">
        <f>VLOOKUP(B73,SKUs!$A$2:$E$6,5,FALSE)</f>
        <v>30</v>
      </c>
      <c r="J73" s="2">
        <f>VLOOKUP(D73,'Rates '!$A$2:$G$4,2,FALSE)</f>
        <v>0.02</v>
      </c>
      <c r="K73" s="3">
        <f>VLOOKUP(D73,'Rates '!$A$2:$G$4,3,FALSE)</f>
        <v>0</v>
      </c>
      <c r="L73" s="3">
        <f>VLOOKUP(D73,'Rates '!$A$2:$G$4,4,FALSE)</f>
        <v>75</v>
      </c>
      <c r="M73" s="3">
        <f>VLOOKUP(D73,'Rates '!$A$2:$G$4,5,FALSE)</f>
        <v>75</v>
      </c>
      <c r="N73" s="3">
        <f>VLOOKUP(D73,'Rates '!$A$2:$G$4,6,FALSE)</f>
        <v>0</v>
      </c>
      <c r="O73" s="45">
        <f>VLOOKUP(D73,'Rates '!$A$2:$G$4,7,FALSE)</f>
        <v>0</v>
      </c>
      <c r="P73" s="3">
        <f t="shared" si="6"/>
        <v>19.98</v>
      </c>
      <c r="Q73" s="3">
        <f t="shared" si="7"/>
        <v>3.5964</v>
      </c>
      <c r="R73" s="3">
        <f t="shared" si="8"/>
        <v>0</v>
      </c>
      <c r="S73" s="3">
        <f t="shared" si="9"/>
        <v>0</v>
      </c>
      <c r="T73" s="20">
        <f t="shared" si="10"/>
        <v>520.42359999999996</v>
      </c>
    </row>
    <row r="74" spans="1:20" x14ac:dyDescent="0.3">
      <c r="A74" s="12" t="str">
        <f t="shared" si="11"/>
        <v>ORD073</v>
      </c>
      <c r="B74" s="1" t="s">
        <v>14</v>
      </c>
      <c r="C74" s="4" t="str">
        <f>VLOOKUP(B74,SKUs!$A$2:$E$6,2,FALSE)</f>
        <v>Printed Kurta</v>
      </c>
      <c r="D74" s="1" t="s">
        <v>6</v>
      </c>
      <c r="E74" s="1" t="s">
        <v>36</v>
      </c>
      <c r="F74" s="1" t="s">
        <v>38</v>
      </c>
      <c r="G74" s="39">
        <f>VLOOKUP(Orders!B74,SKUs!$A$2:$D$6,3,FALSE)</f>
        <v>799</v>
      </c>
      <c r="H74" s="39">
        <f>VLOOKUP(B74,SKUs!$A$2:$D$6,4,FALSE)</f>
        <v>280</v>
      </c>
      <c r="I74" s="39">
        <f>VLOOKUP(B74,SKUs!$A$2:$E$6,5,FALSE)</f>
        <v>25</v>
      </c>
      <c r="J74" s="2">
        <f>VLOOKUP(D74,'Rates '!$A$2:$G$4,2,FALSE)</f>
        <v>0.22</v>
      </c>
      <c r="K74" s="3">
        <f>VLOOKUP(D74,'Rates '!$A$2:$G$4,3,FALSE)</f>
        <v>70</v>
      </c>
      <c r="L74" s="3">
        <f>VLOOKUP(D74,'Rates '!$A$2:$G$4,4,FALSE)</f>
        <v>70</v>
      </c>
      <c r="M74" s="3">
        <f>VLOOKUP(D74,'Rates '!$A$2:$G$4,5,FALSE)</f>
        <v>70</v>
      </c>
      <c r="N74" s="3">
        <f>VLOOKUP(D74,'Rates '!$A$2:$G$4,6,FALSE)</f>
        <v>35</v>
      </c>
      <c r="O74" s="45">
        <f>VLOOKUP(D74,'Rates '!$A$2:$G$4,7,FALSE)</f>
        <v>0.02</v>
      </c>
      <c r="P74" s="3">
        <f t="shared" si="6"/>
        <v>175.78</v>
      </c>
      <c r="Q74" s="3">
        <f t="shared" si="7"/>
        <v>44.240400000000001</v>
      </c>
      <c r="R74" s="3">
        <f t="shared" si="8"/>
        <v>0</v>
      </c>
      <c r="S74" s="3">
        <f t="shared" si="9"/>
        <v>0</v>
      </c>
      <c r="T74" s="20">
        <f t="shared" si="10"/>
        <v>133.9796</v>
      </c>
    </row>
    <row r="75" spans="1:20" x14ac:dyDescent="0.3">
      <c r="A75" s="12" t="str">
        <f t="shared" si="11"/>
        <v>ORD074</v>
      </c>
      <c r="B75" s="1" t="s">
        <v>15</v>
      </c>
      <c r="C75" s="4" t="str">
        <f>VLOOKUP(B75,SKUs!$A$2:$E$6,2,FALSE)</f>
        <v>Embroidered Kurta</v>
      </c>
      <c r="D75" s="1" t="s">
        <v>7</v>
      </c>
      <c r="E75" s="1" t="s">
        <v>36</v>
      </c>
      <c r="F75" s="1" t="s">
        <v>38</v>
      </c>
      <c r="G75" s="39">
        <f>VLOOKUP(Orders!B75,SKUs!$A$2:$D$6,3,FALSE)</f>
        <v>999</v>
      </c>
      <c r="H75" s="39">
        <f>VLOOKUP(B75,SKUs!$A$2:$D$6,4,FALSE)</f>
        <v>350</v>
      </c>
      <c r="I75" s="39">
        <f>VLOOKUP(B75,SKUs!$A$2:$E$6,5,FALSE)</f>
        <v>30</v>
      </c>
      <c r="J75" s="2">
        <f>VLOOKUP(D75,'Rates '!$A$2:$G$4,2,FALSE)</f>
        <v>0.12</v>
      </c>
      <c r="K75" s="3">
        <f>VLOOKUP(D75,'Rates '!$A$2:$G$4,3,FALSE)</f>
        <v>40</v>
      </c>
      <c r="L75" s="3">
        <f>VLOOKUP(D75,'Rates '!$A$2:$G$4,4,FALSE)</f>
        <v>60</v>
      </c>
      <c r="M75" s="3">
        <f>VLOOKUP(D75,'Rates '!$A$2:$G$4,5,FALSE)</f>
        <v>60</v>
      </c>
      <c r="N75" s="3">
        <f>VLOOKUP(D75,'Rates '!$A$2:$G$4,6,FALSE)</f>
        <v>35</v>
      </c>
      <c r="O75" s="45">
        <f>VLOOKUP(D75,'Rates '!$A$2:$G$4,7,FALSE)</f>
        <v>0.02</v>
      </c>
      <c r="P75" s="3">
        <f t="shared" si="6"/>
        <v>119.88</v>
      </c>
      <c r="Q75" s="3">
        <f t="shared" si="7"/>
        <v>28.778399999999998</v>
      </c>
      <c r="R75" s="3">
        <f t="shared" si="8"/>
        <v>0</v>
      </c>
      <c r="S75" s="3">
        <f t="shared" si="9"/>
        <v>0</v>
      </c>
      <c r="T75" s="20">
        <f t="shared" si="10"/>
        <v>370.34159999999997</v>
      </c>
    </row>
    <row r="76" spans="1:20" x14ac:dyDescent="0.3">
      <c r="A76" s="12" t="str">
        <f t="shared" si="11"/>
        <v>ORD075</v>
      </c>
      <c r="B76" s="1" t="s">
        <v>14</v>
      </c>
      <c r="C76" s="4" t="str">
        <f>VLOOKUP(B76,SKUs!$A$2:$E$6,2,FALSE)</f>
        <v>Printed Kurta</v>
      </c>
      <c r="D76" s="1" t="s">
        <v>8</v>
      </c>
      <c r="E76" s="1" t="s">
        <v>36</v>
      </c>
      <c r="F76" s="1" t="s">
        <v>39</v>
      </c>
      <c r="G76" s="39">
        <f>VLOOKUP(Orders!B76,SKUs!$A$2:$D$6,3,FALSE)</f>
        <v>799</v>
      </c>
      <c r="H76" s="39">
        <f>VLOOKUP(B76,SKUs!$A$2:$D$6,4,FALSE)</f>
        <v>280</v>
      </c>
      <c r="I76" s="39">
        <f>VLOOKUP(B76,SKUs!$A$2:$E$6,5,FALSE)</f>
        <v>25</v>
      </c>
      <c r="J76" s="2">
        <f>VLOOKUP(D76,'Rates '!$A$2:$G$4,2,FALSE)</f>
        <v>0.02</v>
      </c>
      <c r="K76" s="3">
        <f>VLOOKUP(D76,'Rates '!$A$2:$G$4,3,FALSE)</f>
        <v>0</v>
      </c>
      <c r="L76" s="3">
        <f>VLOOKUP(D76,'Rates '!$A$2:$G$4,4,FALSE)</f>
        <v>75</v>
      </c>
      <c r="M76" s="3">
        <f>VLOOKUP(D76,'Rates '!$A$2:$G$4,5,FALSE)</f>
        <v>75</v>
      </c>
      <c r="N76" s="3">
        <f>VLOOKUP(D76,'Rates '!$A$2:$G$4,6,FALSE)</f>
        <v>0</v>
      </c>
      <c r="O76" s="45">
        <f>VLOOKUP(D76,'Rates '!$A$2:$G$4,7,FALSE)</f>
        <v>0</v>
      </c>
      <c r="P76" s="3">
        <f t="shared" si="6"/>
        <v>15.98</v>
      </c>
      <c r="Q76" s="3">
        <f t="shared" si="7"/>
        <v>2.8763999999999998</v>
      </c>
      <c r="R76" s="3">
        <f t="shared" si="8"/>
        <v>0</v>
      </c>
      <c r="S76" s="3">
        <f t="shared" si="9"/>
        <v>75</v>
      </c>
      <c r="T76" s="20">
        <f t="shared" si="10"/>
        <v>-175</v>
      </c>
    </row>
    <row r="77" spans="1:20" x14ac:dyDescent="0.3">
      <c r="A77" s="12" t="str">
        <f t="shared" si="11"/>
        <v>ORD076</v>
      </c>
      <c r="B77" s="1" t="s">
        <v>15</v>
      </c>
      <c r="C77" s="4" t="str">
        <f>VLOOKUP(B77,SKUs!$A$2:$E$6,2,FALSE)</f>
        <v>Embroidered Kurta</v>
      </c>
      <c r="D77" s="1" t="s">
        <v>8</v>
      </c>
      <c r="E77" s="1" t="s">
        <v>36</v>
      </c>
      <c r="F77" s="1" t="s">
        <v>38</v>
      </c>
      <c r="G77" s="39">
        <f>VLOOKUP(Orders!B77,SKUs!$A$2:$D$6,3,FALSE)</f>
        <v>999</v>
      </c>
      <c r="H77" s="39">
        <f>VLOOKUP(B77,SKUs!$A$2:$D$6,4,FALSE)</f>
        <v>350</v>
      </c>
      <c r="I77" s="39">
        <f>VLOOKUP(B77,SKUs!$A$2:$E$6,5,FALSE)</f>
        <v>30</v>
      </c>
      <c r="J77" s="2">
        <f>VLOOKUP(D77,'Rates '!$A$2:$G$4,2,FALSE)</f>
        <v>0.02</v>
      </c>
      <c r="K77" s="3">
        <f>VLOOKUP(D77,'Rates '!$A$2:$G$4,3,FALSE)</f>
        <v>0</v>
      </c>
      <c r="L77" s="3">
        <f>VLOOKUP(D77,'Rates '!$A$2:$G$4,4,FALSE)</f>
        <v>75</v>
      </c>
      <c r="M77" s="3">
        <f>VLOOKUP(D77,'Rates '!$A$2:$G$4,5,FALSE)</f>
        <v>75</v>
      </c>
      <c r="N77" s="3">
        <f>VLOOKUP(D77,'Rates '!$A$2:$G$4,6,FALSE)</f>
        <v>0</v>
      </c>
      <c r="O77" s="45">
        <f>VLOOKUP(D77,'Rates '!$A$2:$G$4,7,FALSE)</f>
        <v>0</v>
      </c>
      <c r="P77" s="3">
        <f t="shared" si="6"/>
        <v>19.98</v>
      </c>
      <c r="Q77" s="3">
        <f t="shared" si="7"/>
        <v>3.5964</v>
      </c>
      <c r="R77" s="3">
        <f t="shared" si="8"/>
        <v>0</v>
      </c>
      <c r="S77" s="3">
        <f t="shared" si="9"/>
        <v>0</v>
      </c>
      <c r="T77" s="20">
        <f t="shared" si="10"/>
        <v>520.42359999999996</v>
      </c>
    </row>
    <row r="78" spans="1:20" x14ac:dyDescent="0.3">
      <c r="A78" s="12" t="str">
        <f t="shared" si="11"/>
        <v>ORD077</v>
      </c>
      <c r="B78" s="1" t="s">
        <v>14</v>
      </c>
      <c r="C78" s="4" t="str">
        <f>VLOOKUP(B78,SKUs!$A$2:$E$6,2,FALSE)</f>
        <v>Printed Kurta</v>
      </c>
      <c r="D78" s="1" t="s">
        <v>6</v>
      </c>
      <c r="E78" s="1" t="s">
        <v>37</v>
      </c>
      <c r="F78" s="1" t="s">
        <v>39</v>
      </c>
      <c r="G78" s="39">
        <f>VLOOKUP(Orders!B78,SKUs!$A$2:$D$6,3,FALSE)</f>
        <v>799</v>
      </c>
      <c r="H78" s="39">
        <f>VLOOKUP(B78,SKUs!$A$2:$D$6,4,FALSE)</f>
        <v>280</v>
      </c>
      <c r="I78" s="39">
        <f>VLOOKUP(B78,SKUs!$A$2:$E$6,5,FALSE)</f>
        <v>25</v>
      </c>
      <c r="J78" s="2">
        <f>VLOOKUP(D78,'Rates '!$A$2:$G$4,2,FALSE)</f>
        <v>0.22</v>
      </c>
      <c r="K78" s="3">
        <f>VLOOKUP(D78,'Rates '!$A$2:$G$4,3,FALSE)</f>
        <v>70</v>
      </c>
      <c r="L78" s="3">
        <f>VLOOKUP(D78,'Rates '!$A$2:$G$4,4,FALSE)</f>
        <v>70</v>
      </c>
      <c r="M78" s="3">
        <f>VLOOKUP(D78,'Rates '!$A$2:$G$4,5,FALSE)</f>
        <v>70</v>
      </c>
      <c r="N78" s="3">
        <f>VLOOKUP(D78,'Rates '!$A$2:$G$4,6,FALSE)</f>
        <v>35</v>
      </c>
      <c r="O78" s="45">
        <f>VLOOKUP(D78,'Rates '!$A$2:$G$4,7,FALSE)</f>
        <v>0.02</v>
      </c>
      <c r="P78" s="3">
        <f t="shared" si="6"/>
        <v>175.78</v>
      </c>
      <c r="Q78" s="3">
        <f t="shared" si="7"/>
        <v>44.240400000000001</v>
      </c>
      <c r="R78" s="3">
        <f t="shared" si="8"/>
        <v>50.980000000000004</v>
      </c>
      <c r="S78" s="3">
        <f t="shared" si="9"/>
        <v>70</v>
      </c>
      <c r="T78" s="20">
        <f t="shared" si="10"/>
        <v>-215.98000000000002</v>
      </c>
    </row>
    <row r="79" spans="1:20" x14ac:dyDescent="0.3">
      <c r="A79" s="12" t="str">
        <f t="shared" si="11"/>
        <v>ORD078</v>
      </c>
      <c r="B79" s="1" t="s">
        <v>16</v>
      </c>
      <c r="C79" s="4" t="str">
        <f>VLOOKUP(B79,SKUs!$A$2:$E$6,2,FALSE)</f>
        <v>Designer Kurta</v>
      </c>
      <c r="D79" s="1" t="s">
        <v>8</v>
      </c>
      <c r="E79" s="1" t="s">
        <v>36</v>
      </c>
      <c r="F79" s="1" t="s">
        <v>38</v>
      </c>
      <c r="G79" s="39">
        <f>VLOOKUP(Orders!B79,SKUs!$A$2:$D$6,3,FALSE)</f>
        <v>1299</v>
      </c>
      <c r="H79" s="39">
        <f>VLOOKUP(B79,SKUs!$A$2:$D$6,4,FALSE)</f>
        <v>455</v>
      </c>
      <c r="I79" s="39">
        <f>VLOOKUP(B79,SKUs!$A$2:$E$6,5,FALSE)</f>
        <v>40</v>
      </c>
      <c r="J79" s="2">
        <f>VLOOKUP(D79,'Rates '!$A$2:$G$4,2,FALSE)</f>
        <v>0.02</v>
      </c>
      <c r="K79" s="3">
        <f>VLOOKUP(D79,'Rates '!$A$2:$G$4,3,FALSE)</f>
        <v>0</v>
      </c>
      <c r="L79" s="3">
        <f>VLOOKUP(D79,'Rates '!$A$2:$G$4,4,FALSE)</f>
        <v>75</v>
      </c>
      <c r="M79" s="3">
        <f>VLOOKUP(D79,'Rates '!$A$2:$G$4,5,FALSE)</f>
        <v>75</v>
      </c>
      <c r="N79" s="3">
        <f>VLOOKUP(D79,'Rates '!$A$2:$G$4,6,FALSE)</f>
        <v>0</v>
      </c>
      <c r="O79" s="45">
        <f>VLOOKUP(D79,'Rates '!$A$2:$G$4,7,FALSE)</f>
        <v>0</v>
      </c>
      <c r="P79" s="3">
        <f t="shared" si="6"/>
        <v>25.98</v>
      </c>
      <c r="Q79" s="3">
        <f t="shared" si="7"/>
        <v>4.6764000000000001</v>
      </c>
      <c r="R79" s="3">
        <f t="shared" si="8"/>
        <v>0</v>
      </c>
      <c r="S79" s="3">
        <f t="shared" si="9"/>
        <v>0</v>
      </c>
      <c r="T79" s="20">
        <f t="shared" si="10"/>
        <v>698.34359999999992</v>
      </c>
    </row>
    <row r="80" spans="1:20" x14ac:dyDescent="0.3">
      <c r="A80" s="12" t="str">
        <f t="shared" si="11"/>
        <v>ORD079</v>
      </c>
      <c r="B80" s="1" t="s">
        <v>14</v>
      </c>
      <c r="C80" s="4" t="str">
        <f>VLOOKUP(B80,SKUs!$A$2:$E$6,2,FALSE)</f>
        <v>Printed Kurta</v>
      </c>
      <c r="D80" s="1" t="s">
        <v>6</v>
      </c>
      <c r="E80" s="1" t="s">
        <v>37</v>
      </c>
      <c r="F80" s="1" t="s">
        <v>38</v>
      </c>
      <c r="G80" s="39">
        <f>VLOOKUP(Orders!B80,SKUs!$A$2:$D$6,3,FALSE)</f>
        <v>799</v>
      </c>
      <c r="H80" s="39">
        <f>VLOOKUP(B80,SKUs!$A$2:$D$6,4,FALSE)</f>
        <v>280</v>
      </c>
      <c r="I80" s="39">
        <f>VLOOKUP(B80,SKUs!$A$2:$E$6,5,FALSE)</f>
        <v>25</v>
      </c>
      <c r="J80" s="2">
        <f>VLOOKUP(D80,'Rates '!$A$2:$G$4,2,FALSE)</f>
        <v>0.22</v>
      </c>
      <c r="K80" s="3">
        <f>VLOOKUP(D80,'Rates '!$A$2:$G$4,3,FALSE)</f>
        <v>70</v>
      </c>
      <c r="L80" s="3">
        <f>VLOOKUP(D80,'Rates '!$A$2:$G$4,4,FALSE)</f>
        <v>70</v>
      </c>
      <c r="M80" s="3">
        <f>VLOOKUP(D80,'Rates '!$A$2:$G$4,5,FALSE)</f>
        <v>70</v>
      </c>
      <c r="N80" s="3">
        <f>VLOOKUP(D80,'Rates '!$A$2:$G$4,6,FALSE)</f>
        <v>35</v>
      </c>
      <c r="O80" s="45">
        <f>VLOOKUP(D80,'Rates '!$A$2:$G$4,7,FALSE)</f>
        <v>0.02</v>
      </c>
      <c r="P80" s="3">
        <f t="shared" si="6"/>
        <v>175.78</v>
      </c>
      <c r="Q80" s="3">
        <f t="shared" si="7"/>
        <v>44.240400000000001</v>
      </c>
      <c r="R80" s="3">
        <f t="shared" si="8"/>
        <v>50.980000000000004</v>
      </c>
      <c r="S80" s="3">
        <f t="shared" si="9"/>
        <v>0</v>
      </c>
      <c r="T80" s="20">
        <f t="shared" si="10"/>
        <v>82.999599999999987</v>
      </c>
    </row>
    <row r="81" spans="1:20" x14ac:dyDescent="0.3">
      <c r="A81" s="12" t="str">
        <f t="shared" si="11"/>
        <v>ORD080</v>
      </c>
      <c r="B81" s="1" t="s">
        <v>13</v>
      </c>
      <c r="C81" s="4" t="str">
        <f>VLOOKUP(B81,SKUs!$A$2:$E$6,2,FALSE)</f>
        <v>Basic Cotton Kurta</v>
      </c>
      <c r="D81" s="1" t="s">
        <v>6</v>
      </c>
      <c r="E81" s="1" t="s">
        <v>36</v>
      </c>
      <c r="F81" s="1" t="s">
        <v>39</v>
      </c>
      <c r="G81" s="39">
        <f>VLOOKUP(Orders!B81,SKUs!$A$2:$D$6,3,FALSE)</f>
        <v>599</v>
      </c>
      <c r="H81" s="39">
        <f>VLOOKUP(B81,SKUs!$A$2:$D$6,4,FALSE)</f>
        <v>210</v>
      </c>
      <c r="I81" s="39">
        <f>VLOOKUP(B81,SKUs!$A$2:$E$6,5,FALSE)</f>
        <v>20</v>
      </c>
      <c r="J81" s="2">
        <f>VLOOKUP(D81,'Rates '!$A$2:$G$4,2,FALSE)</f>
        <v>0.22</v>
      </c>
      <c r="K81" s="3">
        <f>VLOOKUP(D81,'Rates '!$A$2:$G$4,3,FALSE)</f>
        <v>70</v>
      </c>
      <c r="L81" s="3">
        <f>VLOOKUP(D81,'Rates '!$A$2:$G$4,4,FALSE)</f>
        <v>70</v>
      </c>
      <c r="M81" s="3">
        <f>VLOOKUP(D81,'Rates '!$A$2:$G$4,5,FALSE)</f>
        <v>70</v>
      </c>
      <c r="N81" s="3">
        <f>VLOOKUP(D81,'Rates '!$A$2:$G$4,6,FALSE)</f>
        <v>35</v>
      </c>
      <c r="O81" s="45">
        <f>VLOOKUP(D81,'Rates '!$A$2:$G$4,7,FALSE)</f>
        <v>0.02</v>
      </c>
      <c r="P81" s="3">
        <f t="shared" si="6"/>
        <v>131.78</v>
      </c>
      <c r="Q81" s="3">
        <f t="shared" si="7"/>
        <v>36.320399999999999</v>
      </c>
      <c r="R81" s="3">
        <f t="shared" si="8"/>
        <v>0</v>
      </c>
      <c r="S81" s="3">
        <f t="shared" si="9"/>
        <v>70</v>
      </c>
      <c r="T81" s="20">
        <f t="shared" si="10"/>
        <v>-160</v>
      </c>
    </row>
    <row r="82" spans="1:20" x14ac:dyDescent="0.3">
      <c r="A82" s="12" t="str">
        <f t="shared" si="11"/>
        <v>ORD081</v>
      </c>
      <c r="B82" s="1" t="s">
        <v>16</v>
      </c>
      <c r="C82" s="4" t="str">
        <f>VLOOKUP(B82,SKUs!$A$2:$E$6,2,FALSE)</f>
        <v>Designer Kurta</v>
      </c>
      <c r="D82" s="1" t="s">
        <v>7</v>
      </c>
      <c r="E82" s="1" t="s">
        <v>37</v>
      </c>
      <c r="F82" s="1" t="s">
        <v>38</v>
      </c>
      <c r="G82" s="39">
        <f>VLOOKUP(Orders!B82,SKUs!$A$2:$D$6,3,FALSE)</f>
        <v>1299</v>
      </c>
      <c r="H82" s="39">
        <f>VLOOKUP(B82,SKUs!$A$2:$D$6,4,FALSE)</f>
        <v>455</v>
      </c>
      <c r="I82" s="39">
        <f>VLOOKUP(B82,SKUs!$A$2:$E$6,5,FALSE)</f>
        <v>40</v>
      </c>
      <c r="J82" s="2">
        <f>VLOOKUP(D82,'Rates '!$A$2:$G$4,2,FALSE)</f>
        <v>0.12</v>
      </c>
      <c r="K82" s="3">
        <f>VLOOKUP(D82,'Rates '!$A$2:$G$4,3,FALSE)</f>
        <v>40</v>
      </c>
      <c r="L82" s="3">
        <f>VLOOKUP(D82,'Rates '!$A$2:$G$4,4,FALSE)</f>
        <v>60</v>
      </c>
      <c r="M82" s="3">
        <f>VLOOKUP(D82,'Rates '!$A$2:$G$4,5,FALSE)</f>
        <v>60</v>
      </c>
      <c r="N82" s="3">
        <f>VLOOKUP(D82,'Rates '!$A$2:$G$4,6,FALSE)</f>
        <v>35</v>
      </c>
      <c r="O82" s="45">
        <f>VLOOKUP(D82,'Rates '!$A$2:$G$4,7,FALSE)</f>
        <v>0.02</v>
      </c>
      <c r="P82" s="3">
        <f t="shared" si="6"/>
        <v>155.88</v>
      </c>
      <c r="Q82" s="3">
        <f t="shared" si="7"/>
        <v>35.258399999999995</v>
      </c>
      <c r="R82" s="3">
        <f t="shared" si="8"/>
        <v>60.980000000000004</v>
      </c>
      <c r="S82" s="3">
        <f t="shared" si="9"/>
        <v>0</v>
      </c>
      <c r="T82" s="20">
        <f t="shared" si="10"/>
        <v>451.88159999999993</v>
      </c>
    </row>
    <row r="83" spans="1:20" x14ac:dyDescent="0.3">
      <c r="A83" s="12" t="str">
        <f t="shared" si="11"/>
        <v>ORD082</v>
      </c>
      <c r="B83" s="1" t="s">
        <v>17</v>
      </c>
      <c r="C83" s="4" t="str">
        <f>VLOOKUP(B83,SKUs!$A$2:$E$6,2,FALSE)</f>
        <v>Premium Silk Kurta</v>
      </c>
      <c r="D83" s="1" t="s">
        <v>6</v>
      </c>
      <c r="E83" s="1" t="s">
        <v>36</v>
      </c>
      <c r="F83" s="1" t="s">
        <v>38</v>
      </c>
      <c r="G83" s="39">
        <f>VLOOKUP(Orders!B83,SKUs!$A$2:$D$6,3,FALSE)</f>
        <v>1899</v>
      </c>
      <c r="H83" s="39">
        <f>VLOOKUP(B83,SKUs!$A$2:$D$6,4,FALSE)</f>
        <v>645</v>
      </c>
      <c r="I83" s="39">
        <f>VLOOKUP(B83,SKUs!$A$2:$E$6,5,FALSE)</f>
        <v>45</v>
      </c>
      <c r="J83" s="2">
        <f>VLOOKUP(D83,'Rates '!$A$2:$G$4,2,FALSE)</f>
        <v>0.22</v>
      </c>
      <c r="K83" s="3">
        <f>VLOOKUP(D83,'Rates '!$A$2:$G$4,3,FALSE)</f>
        <v>70</v>
      </c>
      <c r="L83" s="3">
        <f>VLOOKUP(D83,'Rates '!$A$2:$G$4,4,FALSE)</f>
        <v>70</v>
      </c>
      <c r="M83" s="3">
        <f>VLOOKUP(D83,'Rates '!$A$2:$G$4,5,FALSE)</f>
        <v>70</v>
      </c>
      <c r="N83" s="3">
        <f>VLOOKUP(D83,'Rates '!$A$2:$G$4,6,FALSE)</f>
        <v>35</v>
      </c>
      <c r="O83" s="45">
        <f>VLOOKUP(D83,'Rates '!$A$2:$G$4,7,FALSE)</f>
        <v>0.02</v>
      </c>
      <c r="P83" s="3">
        <f t="shared" si="6"/>
        <v>417.78000000000003</v>
      </c>
      <c r="Q83" s="3">
        <f t="shared" si="7"/>
        <v>87.800399999999996</v>
      </c>
      <c r="R83" s="3">
        <f t="shared" si="8"/>
        <v>0</v>
      </c>
      <c r="S83" s="3">
        <f t="shared" si="9"/>
        <v>0</v>
      </c>
      <c r="T83" s="20">
        <f t="shared" si="10"/>
        <v>563.41959999999995</v>
      </c>
    </row>
    <row r="84" spans="1:20" x14ac:dyDescent="0.3">
      <c r="A84" s="12" t="str">
        <f t="shared" si="11"/>
        <v>ORD083</v>
      </c>
      <c r="B84" s="1" t="s">
        <v>15</v>
      </c>
      <c r="C84" s="4" t="str">
        <f>VLOOKUP(B84,SKUs!$A$2:$E$6,2,FALSE)</f>
        <v>Embroidered Kurta</v>
      </c>
      <c r="D84" s="1" t="s">
        <v>6</v>
      </c>
      <c r="E84" s="1" t="s">
        <v>37</v>
      </c>
      <c r="F84" s="1" t="s">
        <v>39</v>
      </c>
      <c r="G84" s="39">
        <f>VLOOKUP(Orders!B84,SKUs!$A$2:$D$6,3,FALSE)</f>
        <v>999</v>
      </c>
      <c r="H84" s="39">
        <f>VLOOKUP(B84,SKUs!$A$2:$D$6,4,FALSE)</f>
        <v>350</v>
      </c>
      <c r="I84" s="39">
        <f>VLOOKUP(B84,SKUs!$A$2:$E$6,5,FALSE)</f>
        <v>30</v>
      </c>
      <c r="J84" s="2">
        <f>VLOOKUP(D84,'Rates '!$A$2:$G$4,2,FALSE)</f>
        <v>0.22</v>
      </c>
      <c r="K84" s="3">
        <f>VLOOKUP(D84,'Rates '!$A$2:$G$4,3,FALSE)</f>
        <v>70</v>
      </c>
      <c r="L84" s="3">
        <f>VLOOKUP(D84,'Rates '!$A$2:$G$4,4,FALSE)</f>
        <v>70</v>
      </c>
      <c r="M84" s="3">
        <f>VLOOKUP(D84,'Rates '!$A$2:$G$4,5,FALSE)</f>
        <v>70</v>
      </c>
      <c r="N84" s="3">
        <f>VLOOKUP(D84,'Rates '!$A$2:$G$4,6,FALSE)</f>
        <v>35</v>
      </c>
      <c r="O84" s="45">
        <f>VLOOKUP(D84,'Rates '!$A$2:$G$4,7,FALSE)</f>
        <v>0.02</v>
      </c>
      <c r="P84" s="3">
        <f t="shared" si="6"/>
        <v>219.78</v>
      </c>
      <c r="Q84" s="3">
        <f t="shared" si="7"/>
        <v>52.160399999999996</v>
      </c>
      <c r="R84" s="3">
        <f t="shared" si="8"/>
        <v>54.980000000000004</v>
      </c>
      <c r="S84" s="3">
        <f t="shared" si="9"/>
        <v>70</v>
      </c>
      <c r="T84" s="20">
        <f t="shared" si="10"/>
        <v>-224.98000000000002</v>
      </c>
    </row>
    <row r="85" spans="1:20" x14ac:dyDescent="0.3">
      <c r="A85" s="12" t="str">
        <f t="shared" si="11"/>
        <v>ORD084</v>
      </c>
      <c r="B85" s="1" t="s">
        <v>17</v>
      </c>
      <c r="C85" s="4" t="str">
        <f>VLOOKUP(B85,SKUs!$A$2:$E$6,2,FALSE)</f>
        <v>Premium Silk Kurta</v>
      </c>
      <c r="D85" s="1" t="s">
        <v>8</v>
      </c>
      <c r="E85" s="1" t="s">
        <v>36</v>
      </c>
      <c r="F85" s="1" t="s">
        <v>38</v>
      </c>
      <c r="G85" s="39">
        <f>VLOOKUP(Orders!B85,SKUs!$A$2:$D$6,3,FALSE)</f>
        <v>1899</v>
      </c>
      <c r="H85" s="39">
        <f>VLOOKUP(B85,SKUs!$A$2:$D$6,4,FALSE)</f>
        <v>645</v>
      </c>
      <c r="I85" s="39">
        <f>VLOOKUP(B85,SKUs!$A$2:$E$6,5,FALSE)</f>
        <v>45</v>
      </c>
      <c r="J85" s="2">
        <f>VLOOKUP(D85,'Rates '!$A$2:$G$4,2,FALSE)</f>
        <v>0.02</v>
      </c>
      <c r="K85" s="3">
        <f>VLOOKUP(D85,'Rates '!$A$2:$G$4,3,FALSE)</f>
        <v>0</v>
      </c>
      <c r="L85" s="3">
        <f>VLOOKUP(D85,'Rates '!$A$2:$G$4,4,FALSE)</f>
        <v>75</v>
      </c>
      <c r="M85" s="3">
        <f>VLOOKUP(D85,'Rates '!$A$2:$G$4,5,FALSE)</f>
        <v>75</v>
      </c>
      <c r="N85" s="3">
        <f>VLOOKUP(D85,'Rates '!$A$2:$G$4,6,FALSE)</f>
        <v>0</v>
      </c>
      <c r="O85" s="45">
        <f>VLOOKUP(D85,'Rates '!$A$2:$G$4,7,FALSE)</f>
        <v>0</v>
      </c>
      <c r="P85" s="3">
        <f t="shared" si="6"/>
        <v>37.980000000000004</v>
      </c>
      <c r="Q85" s="3">
        <f t="shared" si="7"/>
        <v>6.8364000000000003</v>
      </c>
      <c r="R85" s="3">
        <f t="shared" si="8"/>
        <v>0</v>
      </c>
      <c r="S85" s="3">
        <f t="shared" si="9"/>
        <v>0</v>
      </c>
      <c r="T85" s="20">
        <f t="shared" si="10"/>
        <v>1089.1836000000001</v>
      </c>
    </row>
    <row r="86" spans="1:20" x14ac:dyDescent="0.3">
      <c r="A86" s="12" t="str">
        <f t="shared" si="11"/>
        <v>ORD085</v>
      </c>
      <c r="B86" s="1" t="s">
        <v>13</v>
      </c>
      <c r="C86" s="4" t="str">
        <f>VLOOKUP(B86,SKUs!$A$2:$E$6,2,FALSE)</f>
        <v>Basic Cotton Kurta</v>
      </c>
      <c r="D86" s="1" t="s">
        <v>7</v>
      </c>
      <c r="E86" s="1" t="s">
        <v>37</v>
      </c>
      <c r="F86" s="1" t="s">
        <v>39</v>
      </c>
      <c r="G86" s="39">
        <f>VLOOKUP(Orders!B86,SKUs!$A$2:$D$6,3,FALSE)</f>
        <v>599</v>
      </c>
      <c r="H86" s="39">
        <f>VLOOKUP(B86,SKUs!$A$2:$D$6,4,FALSE)</f>
        <v>210</v>
      </c>
      <c r="I86" s="39">
        <f>VLOOKUP(B86,SKUs!$A$2:$E$6,5,FALSE)</f>
        <v>20</v>
      </c>
      <c r="J86" s="2">
        <f>VLOOKUP(D86,'Rates '!$A$2:$G$4,2,FALSE)</f>
        <v>0.12</v>
      </c>
      <c r="K86" s="3">
        <f>VLOOKUP(D86,'Rates '!$A$2:$G$4,3,FALSE)</f>
        <v>40</v>
      </c>
      <c r="L86" s="3">
        <f>VLOOKUP(D86,'Rates '!$A$2:$G$4,4,FALSE)</f>
        <v>60</v>
      </c>
      <c r="M86" s="3">
        <f>VLOOKUP(D86,'Rates '!$A$2:$G$4,5,FALSE)</f>
        <v>60</v>
      </c>
      <c r="N86" s="3">
        <f>VLOOKUP(D86,'Rates '!$A$2:$G$4,6,FALSE)</f>
        <v>35</v>
      </c>
      <c r="O86" s="45">
        <f>VLOOKUP(D86,'Rates '!$A$2:$G$4,7,FALSE)</f>
        <v>0.02</v>
      </c>
      <c r="P86" s="3">
        <f t="shared" si="6"/>
        <v>71.88</v>
      </c>
      <c r="Q86" s="3">
        <f t="shared" si="7"/>
        <v>20.138399999999997</v>
      </c>
      <c r="R86" s="3">
        <f t="shared" si="8"/>
        <v>46.980000000000004</v>
      </c>
      <c r="S86" s="3">
        <f t="shared" si="9"/>
        <v>60</v>
      </c>
      <c r="T86" s="20">
        <f t="shared" si="10"/>
        <v>-186.98000000000002</v>
      </c>
    </row>
    <row r="87" spans="1:20" x14ac:dyDescent="0.3">
      <c r="A87" s="12" t="str">
        <f t="shared" si="11"/>
        <v>ORD086</v>
      </c>
      <c r="B87" s="1" t="s">
        <v>15</v>
      </c>
      <c r="C87" s="4" t="str">
        <f>VLOOKUP(B87,SKUs!$A$2:$E$6,2,FALSE)</f>
        <v>Embroidered Kurta</v>
      </c>
      <c r="D87" s="1" t="s">
        <v>7</v>
      </c>
      <c r="E87" s="1" t="s">
        <v>37</v>
      </c>
      <c r="F87" s="1" t="s">
        <v>39</v>
      </c>
      <c r="G87" s="39">
        <f>VLOOKUP(Orders!B87,SKUs!$A$2:$D$6,3,FALSE)</f>
        <v>999</v>
      </c>
      <c r="H87" s="39">
        <f>VLOOKUP(B87,SKUs!$A$2:$D$6,4,FALSE)</f>
        <v>350</v>
      </c>
      <c r="I87" s="39">
        <f>VLOOKUP(B87,SKUs!$A$2:$E$6,5,FALSE)</f>
        <v>30</v>
      </c>
      <c r="J87" s="2">
        <f>VLOOKUP(D87,'Rates '!$A$2:$G$4,2,FALSE)</f>
        <v>0.12</v>
      </c>
      <c r="K87" s="3">
        <f>VLOOKUP(D87,'Rates '!$A$2:$G$4,3,FALSE)</f>
        <v>40</v>
      </c>
      <c r="L87" s="3">
        <f>VLOOKUP(D87,'Rates '!$A$2:$G$4,4,FALSE)</f>
        <v>60</v>
      </c>
      <c r="M87" s="3">
        <f>VLOOKUP(D87,'Rates '!$A$2:$G$4,5,FALSE)</f>
        <v>60</v>
      </c>
      <c r="N87" s="3">
        <f>VLOOKUP(D87,'Rates '!$A$2:$G$4,6,FALSE)</f>
        <v>35</v>
      </c>
      <c r="O87" s="45">
        <f>VLOOKUP(D87,'Rates '!$A$2:$G$4,7,FALSE)</f>
        <v>0.02</v>
      </c>
      <c r="P87" s="3">
        <f t="shared" si="6"/>
        <v>119.88</v>
      </c>
      <c r="Q87" s="3">
        <f t="shared" si="7"/>
        <v>28.778399999999998</v>
      </c>
      <c r="R87" s="3">
        <f t="shared" si="8"/>
        <v>54.980000000000004</v>
      </c>
      <c r="S87" s="3">
        <f t="shared" si="9"/>
        <v>60</v>
      </c>
      <c r="T87" s="20">
        <f t="shared" si="10"/>
        <v>-204.98000000000002</v>
      </c>
    </row>
    <row r="88" spans="1:20" x14ac:dyDescent="0.3">
      <c r="A88" s="12" t="str">
        <f t="shared" si="11"/>
        <v>ORD087</v>
      </c>
      <c r="B88" s="1" t="s">
        <v>15</v>
      </c>
      <c r="C88" s="4" t="str">
        <f>VLOOKUP(B88,SKUs!$A$2:$E$6,2,FALSE)</f>
        <v>Embroidered Kurta</v>
      </c>
      <c r="D88" s="1" t="s">
        <v>7</v>
      </c>
      <c r="E88" s="1" t="s">
        <v>36</v>
      </c>
      <c r="F88" s="1" t="s">
        <v>38</v>
      </c>
      <c r="G88" s="39">
        <f>VLOOKUP(Orders!B88,SKUs!$A$2:$D$6,3,FALSE)</f>
        <v>999</v>
      </c>
      <c r="H88" s="39">
        <f>VLOOKUP(B88,SKUs!$A$2:$D$6,4,FALSE)</f>
        <v>350</v>
      </c>
      <c r="I88" s="39">
        <f>VLOOKUP(B88,SKUs!$A$2:$E$6,5,FALSE)</f>
        <v>30</v>
      </c>
      <c r="J88" s="2">
        <f>VLOOKUP(D88,'Rates '!$A$2:$G$4,2,FALSE)</f>
        <v>0.12</v>
      </c>
      <c r="K88" s="3">
        <f>VLOOKUP(D88,'Rates '!$A$2:$G$4,3,FALSE)</f>
        <v>40</v>
      </c>
      <c r="L88" s="3">
        <f>VLOOKUP(D88,'Rates '!$A$2:$G$4,4,FALSE)</f>
        <v>60</v>
      </c>
      <c r="M88" s="3">
        <f>VLOOKUP(D88,'Rates '!$A$2:$G$4,5,FALSE)</f>
        <v>60</v>
      </c>
      <c r="N88" s="3">
        <f>VLOOKUP(D88,'Rates '!$A$2:$G$4,6,FALSE)</f>
        <v>35</v>
      </c>
      <c r="O88" s="45">
        <f>VLOOKUP(D88,'Rates '!$A$2:$G$4,7,FALSE)</f>
        <v>0.02</v>
      </c>
      <c r="P88" s="3">
        <f t="shared" si="6"/>
        <v>119.88</v>
      </c>
      <c r="Q88" s="3">
        <f t="shared" si="7"/>
        <v>28.778399999999998</v>
      </c>
      <c r="R88" s="3">
        <f t="shared" si="8"/>
        <v>0</v>
      </c>
      <c r="S88" s="3">
        <f t="shared" si="9"/>
        <v>0</v>
      </c>
      <c r="T88" s="20">
        <f t="shared" si="10"/>
        <v>370.34159999999997</v>
      </c>
    </row>
    <row r="89" spans="1:20" x14ac:dyDescent="0.3">
      <c r="A89" s="12" t="str">
        <f t="shared" si="11"/>
        <v>ORD088</v>
      </c>
      <c r="B89" s="1" t="s">
        <v>17</v>
      </c>
      <c r="C89" s="4" t="str">
        <f>VLOOKUP(B89,SKUs!$A$2:$E$6,2,FALSE)</f>
        <v>Premium Silk Kurta</v>
      </c>
      <c r="D89" s="1" t="s">
        <v>8</v>
      </c>
      <c r="E89" s="1" t="s">
        <v>36</v>
      </c>
      <c r="F89" s="1" t="s">
        <v>38</v>
      </c>
      <c r="G89" s="39">
        <f>VLOOKUP(Orders!B89,SKUs!$A$2:$D$6,3,FALSE)</f>
        <v>1899</v>
      </c>
      <c r="H89" s="39">
        <f>VLOOKUP(B89,SKUs!$A$2:$D$6,4,FALSE)</f>
        <v>645</v>
      </c>
      <c r="I89" s="39">
        <f>VLOOKUP(B89,SKUs!$A$2:$E$6,5,FALSE)</f>
        <v>45</v>
      </c>
      <c r="J89" s="2">
        <f>VLOOKUP(D89,'Rates '!$A$2:$G$4,2,FALSE)</f>
        <v>0.02</v>
      </c>
      <c r="K89" s="3">
        <f>VLOOKUP(D89,'Rates '!$A$2:$G$4,3,FALSE)</f>
        <v>0</v>
      </c>
      <c r="L89" s="3">
        <f>VLOOKUP(D89,'Rates '!$A$2:$G$4,4,FALSE)</f>
        <v>75</v>
      </c>
      <c r="M89" s="3">
        <f>VLOOKUP(D89,'Rates '!$A$2:$G$4,5,FALSE)</f>
        <v>75</v>
      </c>
      <c r="N89" s="3">
        <f>VLOOKUP(D89,'Rates '!$A$2:$G$4,6,FALSE)</f>
        <v>0</v>
      </c>
      <c r="O89" s="45">
        <f>VLOOKUP(D89,'Rates '!$A$2:$G$4,7,FALSE)</f>
        <v>0</v>
      </c>
      <c r="P89" s="3">
        <f t="shared" si="6"/>
        <v>37.980000000000004</v>
      </c>
      <c r="Q89" s="3">
        <f t="shared" si="7"/>
        <v>6.8364000000000003</v>
      </c>
      <c r="R89" s="3">
        <f t="shared" si="8"/>
        <v>0</v>
      </c>
      <c r="S89" s="3">
        <f t="shared" si="9"/>
        <v>0</v>
      </c>
      <c r="T89" s="20">
        <f t="shared" si="10"/>
        <v>1089.1836000000001</v>
      </c>
    </row>
    <row r="90" spans="1:20" x14ac:dyDescent="0.3">
      <c r="A90" s="12" t="str">
        <f t="shared" si="11"/>
        <v>ORD089</v>
      </c>
      <c r="B90" s="1" t="s">
        <v>16</v>
      </c>
      <c r="C90" s="4" t="str">
        <f>VLOOKUP(B90,SKUs!$A$2:$E$6,2,FALSE)</f>
        <v>Designer Kurta</v>
      </c>
      <c r="D90" s="1" t="s">
        <v>6</v>
      </c>
      <c r="E90" s="1" t="s">
        <v>36</v>
      </c>
      <c r="F90" s="1" t="s">
        <v>38</v>
      </c>
      <c r="G90" s="39">
        <f>VLOOKUP(Orders!B90,SKUs!$A$2:$D$6,3,FALSE)</f>
        <v>1299</v>
      </c>
      <c r="H90" s="39">
        <f>VLOOKUP(B90,SKUs!$A$2:$D$6,4,FALSE)</f>
        <v>455</v>
      </c>
      <c r="I90" s="39">
        <f>VLOOKUP(B90,SKUs!$A$2:$E$6,5,FALSE)</f>
        <v>40</v>
      </c>
      <c r="J90" s="2">
        <f>VLOOKUP(D90,'Rates '!$A$2:$G$4,2,FALSE)</f>
        <v>0.22</v>
      </c>
      <c r="K90" s="3">
        <f>VLOOKUP(D90,'Rates '!$A$2:$G$4,3,FALSE)</f>
        <v>70</v>
      </c>
      <c r="L90" s="3">
        <f>VLOOKUP(D90,'Rates '!$A$2:$G$4,4,FALSE)</f>
        <v>70</v>
      </c>
      <c r="M90" s="3">
        <f>VLOOKUP(D90,'Rates '!$A$2:$G$4,5,FALSE)</f>
        <v>70</v>
      </c>
      <c r="N90" s="3">
        <f>VLOOKUP(D90,'Rates '!$A$2:$G$4,6,FALSE)</f>
        <v>35</v>
      </c>
      <c r="O90" s="45">
        <f>VLOOKUP(D90,'Rates '!$A$2:$G$4,7,FALSE)</f>
        <v>0.02</v>
      </c>
      <c r="P90" s="3">
        <f t="shared" si="6"/>
        <v>285.78000000000003</v>
      </c>
      <c r="Q90" s="3">
        <f t="shared" si="7"/>
        <v>64.040400000000005</v>
      </c>
      <c r="R90" s="3">
        <f t="shared" si="8"/>
        <v>0</v>
      </c>
      <c r="S90" s="3">
        <f t="shared" si="9"/>
        <v>0</v>
      </c>
      <c r="T90" s="20">
        <f t="shared" si="10"/>
        <v>314.17960000000005</v>
      </c>
    </row>
    <row r="91" spans="1:20" x14ac:dyDescent="0.3">
      <c r="A91" s="12" t="str">
        <f t="shared" si="11"/>
        <v>ORD090</v>
      </c>
      <c r="B91" s="1" t="s">
        <v>17</v>
      </c>
      <c r="C91" s="4" t="str">
        <f>VLOOKUP(B91,SKUs!$A$2:$E$6,2,FALSE)</f>
        <v>Premium Silk Kurta</v>
      </c>
      <c r="D91" s="1" t="s">
        <v>7</v>
      </c>
      <c r="E91" s="1" t="s">
        <v>37</v>
      </c>
      <c r="F91" s="1" t="s">
        <v>38</v>
      </c>
      <c r="G91" s="39">
        <f>VLOOKUP(Orders!B91,SKUs!$A$2:$D$6,3,FALSE)</f>
        <v>1899</v>
      </c>
      <c r="H91" s="39">
        <f>VLOOKUP(B91,SKUs!$A$2:$D$6,4,FALSE)</f>
        <v>645</v>
      </c>
      <c r="I91" s="39">
        <f>VLOOKUP(B91,SKUs!$A$2:$E$6,5,FALSE)</f>
        <v>45</v>
      </c>
      <c r="J91" s="2">
        <f>VLOOKUP(D91,'Rates '!$A$2:$G$4,2,FALSE)</f>
        <v>0.12</v>
      </c>
      <c r="K91" s="3">
        <f>VLOOKUP(D91,'Rates '!$A$2:$G$4,3,FALSE)</f>
        <v>40</v>
      </c>
      <c r="L91" s="3">
        <f>VLOOKUP(D91,'Rates '!$A$2:$G$4,4,FALSE)</f>
        <v>60</v>
      </c>
      <c r="M91" s="3">
        <f>VLOOKUP(D91,'Rates '!$A$2:$G$4,5,FALSE)</f>
        <v>60</v>
      </c>
      <c r="N91" s="3">
        <f>VLOOKUP(D91,'Rates '!$A$2:$G$4,6,FALSE)</f>
        <v>35</v>
      </c>
      <c r="O91" s="45">
        <f>VLOOKUP(D91,'Rates '!$A$2:$G$4,7,FALSE)</f>
        <v>0.02</v>
      </c>
      <c r="P91" s="3">
        <f t="shared" si="6"/>
        <v>227.88</v>
      </c>
      <c r="Q91" s="3">
        <f t="shared" si="7"/>
        <v>48.218399999999995</v>
      </c>
      <c r="R91" s="3">
        <f t="shared" si="8"/>
        <v>72.98</v>
      </c>
      <c r="S91" s="3">
        <f t="shared" si="9"/>
        <v>0</v>
      </c>
      <c r="T91" s="20">
        <f t="shared" si="10"/>
        <v>759.9215999999999</v>
      </c>
    </row>
    <row r="92" spans="1:20" x14ac:dyDescent="0.3">
      <c r="A92" s="12" t="str">
        <f t="shared" si="11"/>
        <v>ORD091</v>
      </c>
      <c r="B92" s="1" t="s">
        <v>14</v>
      </c>
      <c r="C92" s="4" t="str">
        <f>VLOOKUP(B92,SKUs!$A$2:$E$6,2,FALSE)</f>
        <v>Printed Kurta</v>
      </c>
      <c r="D92" s="1" t="s">
        <v>7</v>
      </c>
      <c r="E92" s="1" t="s">
        <v>37</v>
      </c>
      <c r="F92" s="1" t="s">
        <v>38</v>
      </c>
      <c r="G92" s="39">
        <f>VLOOKUP(Orders!B92,SKUs!$A$2:$D$6,3,FALSE)</f>
        <v>799</v>
      </c>
      <c r="H92" s="39">
        <f>VLOOKUP(B92,SKUs!$A$2:$D$6,4,FALSE)</f>
        <v>280</v>
      </c>
      <c r="I92" s="39">
        <f>VLOOKUP(B92,SKUs!$A$2:$E$6,5,FALSE)</f>
        <v>25</v>
      </c>
      <c r="J92" s="2">
        <f>VLOOKUP(D92,'Rates '!$A$2:$G$4,2,FALSE)</f>
        <v>0.12</v>
      </c>
      <c r="K92" s="3">
        <f>VLOOKUP(D92,'Rates '!$A$2:$G$4,3,FALSE)</f>
        <v>40</v>
      </c>
      <c r="L92" s="3">
        <f>VLOOKUP(D92,'Rates '!$A$2:$G$4,4,FALSE)</f>
        <v>60</v>
      </c>
      <c r="M92" s="3">
        <f>VLOOKUP(D92,'Rates '!$A$2:$G$4,5,FALSE)</f>
        <v>60</v>
      </c>
      <c r="N92" s="3">
        <f>VLOOKUP(D92,'Rates '!$A$2:$G$4,6,FALSE)</f>
        <v>35</v>
      </c>
      <c r="O92" s="45">
        <f>VLOOKUP(D92,'Rates '!$A$2:$G$4,7,FALSE)</f>
        <v>0.02</v>
      </c>
      <c r="P92" s="3">
        <f t="shared" si="6"/>
        <v>95.88</v>
      </c>
      <c r="Q92" s="3">
        <f t="shared" si="7"/>
        <v>24.458399999999997</v>
      </c>
      <c r="R92" s="3">
        <f t="shared" si="8"/>
        <v>50.980000000000004</v>
      </c>
      <c r="S92" s="3">
        <f t="shared" si="9"/>
        <v>0</v>
      </c>
      <c r="T92" s="20">
        <f t="shared" si="10"/>
        <v>222.6816</v>
      </c>
    </row>
    <row r="93" spans="1:20" x14ac:dyDescent="0.3">
      <c r="A93" s="12" t="str">
        <f t="shared" si="11"/>
        <v>ORD092</v>
      </c>
      <c r="B93" s="1" t="s">
        <v>16</v>
      </c>
      <c r="C93" s="4" t="str">
        <f>VLOOKUP(B93,SKUs!$A$2:$E$6,2,FALSE)</f>
        <v>Designer Kurta</v>
      </c>
      <c r="D93" s="1" t="s">
        <v>7</v>
      </c>
      <c r="E93" s="1" t="s">
        <v>37</v>
      </c>
      <c r="F93" s="1" t="s">
        <v>38</v>
      </c>
      <c r="G93" s="39">
        <f>VLOOKUP(Orders!B93,SKUs!$A$2:$D$6,3,FALSE)</f>
        <v>1299</v>
      </c>
      <c r="H93" s="39">
        <f>VLOOKUP(B93,SKUs!$A$2:$D$6,4,FALSE)</f>
        <v>455</v>
      </c>
      <c r="I93" s="39">
        <f>VLOOKUP(B93,SKUs!$A$2:$E$6,5,FALSE)</f>
        <v>40</v>
      </c>
      <c r="J93" s="2">
        <f>VLOOKUP(D93,'Rates '!$A$2:$G$4,2,FALSE)</f>
        <v>0.12</v>
      </c>
      <c r="K93" s="3">
        <f>VLOOKUP(D93,'Rates '!$A$2:$G$4,3,FALSE)</f>
        <v>40</v>
      </c>
      <c r="L93" s="3">
        <f>VLOOKUP(D93,'Rates '!$A$2:$G$4,4,FALSE)</f>
        <v>60</v>
      </c>
      <c r="M93" s="3">
        <f>VLOOKUP(D93,'Rates '!$A$2:$G$4,5,FALSE)</f>
        <v>60</v>
      </c>
      <c r="N93" s="3">
        <f>VLOOKUP(D93,'Rates '!$A$2:$G$4,6,FALSE)</f>
        <v>35</v>
      </c>
      <c r="O93" s="45">
        <f>VLOOKUP(D93,'Rates '!$A$2:$G$4,7,FALSE)</f>
        <v>0.02</v>
      </c>
      <c r="P93" s="3">
        <f t="shared" si="6"/>
        <v>155.88</v>
      </c>
      <c r="Q93" s="3">
        <f t="shared" si="7"/>
        <v>35.258399999999995</v>
      </c>
      <c r="R93" s="3">
        <f t="shared" si="8"/>
        <v>60.980000000000004</v>
      </c>
      <c r="S93" s="3">
        <f t="shared" si="9"/>
        <v>0</v>
      </c>
      <c r="T93" s="20">
        <f t="shared" si="10"/>
        <v>451.88159999999993</v>
      </c>
    </row>
    <row r="94" spans="1:20" x14ac:dyDescent="0.3">
      <c r="A94" s="12" t="str">
        <f t="shared" si="11"/>
        <v>ORD093</v>
      </c>
      <c r="B94" s="1" t="s">
        <v>17</v>
      </c>
      <c r="C94" s="4" t="str">
        <f>VLOOKUP(B94,SKUs!$A$2:$E$6,2,FALSE)</f>
        <v>Premium Silk Kurta</v>
      </c>
      <c r="D94" s="1" t="s">
        <v>6</v>
      </c>
      <c r="E94" s="1" t="s">
        <v>36</v>
      </c>
      <c r="F94" s="1" t="s">
        <v>38</v>
      </c>
      <c r="G94" s="39">
        <f>VLOOKUP(Orders!B94,SKUs!$A$2:$D$6,3,FALSE)</f>
        <v>1899</v>
      </c>
      <c r="H94" s="39">
        <f>VLOOKUP(B94,SKUs!$A$2:$D$6,4,FALSE)</f>
        <v>645</v>
      </c>
      <c r="I94" s="39">
        <f>VLOOKUP(B94,SKUs!$A$2:$E$6,5,FALSE)</f>
        <v>45</v>
      </c>
      <c r="J94" s="2">
        <f>VLOOKUP(D94,'Rates '!$A$2:$G$4,2,FALSE)</f>
        <v>0.22</v>
      </c>
      <c r="K94" s="3">
        <f>VLOOKUP(D94,'Rates '!$A$2:$G$4,3,FALSE)</f>
        <v>70</v>
      </c>
      <c r="L94" s="3">
        <f>VLOOKUP(D94,'Rates '!$A$2:$G$4,4,FALSE)</f>
        <v>70</v>
      </c>
      <c r="M94" s="3">
        <f>VLOOKUP(D94,'Rates '!$A$2:$G$4,5,FALSE)</f>
        <v>70</v>
      </c>
      <c r="N94" s="3">
        <f>VLOOKUP(D94,'Rates '!$A$2:$G$4,6,FALSE)</f>
        <v>35</v>
      </c>
      <c r="O94" s="45">
        <f>VLOOKUP(D94,'Rates '!$A$2:$G$4,7,FALSE)</f>
        <v>0.02</v>
      </c>
      <c r="P94" s="3">
        <f t="shared" si="6"/>
        <v>417.78000000000003</v>
      </c>
      <c r="Q94" s="3">
        <f t="shared" si="7"/>
        <v>87.800399999999996</v>
      </c>
      <c r="R94" s="3">
        <f t="shared" si="8"/>
        <v>0</v>
      </c>
      <c r="S94" s="3">
        <f t="shared" si="9"/>
        <v>0</v>
      </c>
      <c r="T94" s="20">
        <f t="shared" si="10"/>
        <v>563.41959999999995</v>
      </c>
    </row>
    <row r="95" spans="1:20" x14ac:dyDescent="0.3">
      <c r="A95" s="12" t="str">
        <f t="shared" si="11"/>
        <v>ORD094</v>
      </c>
      <c r="B95" s="1" t="s">
        <v>17</v>
      </c>
      <c r="C95" s="4" t="str">
        <f>VLOOKUP(B95,SKUs!$A$2:$E$6,2,FALSE)</f>
        <v>Premium Silk Kurta</v>
      </c>
      <c r="D95" s="1" t="s">
        <v>6</v>
      </c>
      <c r="E95" s="1" t="s">
        <v>37</v>
      </c>
      <c r="F95" s="1" t="s">
        <v>38</v>
      </c>
      <c r="G95" s="39">
        <f>VLOOKUP(Orders!B95,SKUs!$A$2:$D$6,3,FALSE)</f>
        <v>1899</v>
      </c>
      <c r="H95" s="39">
        <f>VLOOKUP(B95,SKUs!$A$2:$D$6,4,FALSE)</f>
        <v>645</v>
      </c>
      <c r="I95" s="39">
        <f>VLOOKUP(B95,SKUs!$A$2:$E$6,5,FALSE)</f>
        <v>45</v>
      </c>
      <c r="J95" s="2">
        <f>VLOOKUP(D95,'Rates '!$A$2:$G$4,2,FALSE)</f>
        <v>0.22</v>
      </c>
      <c r="K95" s="3">
        <f>VLOOKUP(D95,'Rates '!$A$2:$G$4,3,FALSE)</f>
        <v>70</v>
      </c>
      <c r="L95" s="3">
        <f>VLOOKUP(D95,'Rates '!$A$2:$G$4,4,FALSE)</f>
        <v>70</v>
      </c>
      <c r="M95" s="3">
        <f>VLOOKUP(D95,'Rates '!$A$2:$G$4,5,FALSE)</f>
        <v>70</v>
      </c>
      <c r="N95" s="3">
        <f>VLOOKUP(D95,'Rates '!$A$2:$G$4,6,FALSE)</f>
        <v>35</v>
      </c>
      <c r="O95" s="45">
        <f>VLOOKUP(D95,'Rates '!$A$2:$G$4,7,FALSE)</f>
        <v>0.02</v>
      </c>
      <c r="P95" s="3">
        <f t="shared" si="6"/>
        <v>417.78000000000003</v>
      </c>
      <c r="Q95" s="3">
        <f t="shared" si="7"/>
        <v>87.800399999999996</v>
      </c>
      <c r="R95" s="3">
        <f t="shared" si="8"/>
        <v>72.98</v>
      </c>
      <c r="S95" s="3">
        <f t="shared" si="9"/>
        <v>0</v>
      </c>
      <c r="T95" s="20">
        <f t="shared" si="10"/>
        <v>490.43959999999993</v>
      </c>
    </row>
    <row r="96" spans="1:20" x14ac:dyDescent="0.3">
      <c r="A96" s="12" t="str">
        <f t="shared" si="11"/>
        <v>ORD095</v>
      </c>
      <c r="B96" s="1" t="s">
        <v>14</v>
      </c>
      <c r="C96" s="4" t="str">
        <f>VLOOKUP(B96,SKUs!$A$2:$E$6,2,FALSE)</f>
        <v>Printed Kurta</v>
      </c>
      <c r="D96" s="1" t="s">
        <v>8</v>
      </c>
      <c r="E96" s="1" t="s">
        <v>36</v>
      </c>
      <c r="F96" s="1" t="s">
        <v>39</v>
      </c>
      <c r="G96" s="39">
        <f>VLOOKUP(Orders!B96,SKUs!$A$2:$D$6,3,FALSE)</f>
        <v>799</v>
      </c>
      <c r="H96" s="39">
        <f>VLOOKUP(B96,SKUs!$A$2:$D$6,4,FALSE)</f>
        <v>280</v>
      </c>
      <c r="I96" s="39">
        <f>VLOOKUP(B96,SKUs!$A$2:$E$6,5,FALSE)</f>
        <v>25</v>
      </c>
      <c r="J96" s="2">
        <f>VLOOKUP(D96,'Rates '!$A$2:$G$4,2,FALSE)</f>
        <v>0.02</v>
      </c>
      <c r="K96" s="3">
        <f>VLOOKUP(D96,'Rates '!$A$2:$G$4,3,FALSE)</f>
        <v>0</v>
      </c>
      <c r="L96" s="3">
        <f>VLOOKUP(D96,'Rates '!$A$2:$G$4,4,FALSE)</f>
        <v>75</v>
      </c>
      <c r="M96" s="3">
        <f>VLOOKUP(D96,'Rates '!$A$2:$G$4,5,FALSE)</f>
        <v>75</v>
      </c>
      <c r="N96" s="3">
        <f>VLOOKUP(D96,'Rates '!$A$2:$G$4,6,FALSE)</f>
        <v>0</v>
      </c>
      <c r="O96" s="45">
        <f>VLOOKUP(D96,'Rates '!$A$2:$G$4,7,FALSE)</f>
        <v>0</v>
      </c>
      <c r="P96" s="3">
        <f t="shared" si="6"/>
        <v>15.98</v>
      </c>
      <c r="Q96" s="3">
        <f t="shared" si="7"/>
        <v>2.8763999999999998</v>
      </c>
      <c r="R96" s="3">
        <f t="shared" si="8"/>
        <v>0</v>
      </c>
      <c r="S96" s="3">
        <f t="shared" si="9"/>
        <v>75</v>
      </c>
      <c r="T96" s="20">
        <f t="shared" si="10"/>
        <v>-175</v>
      </c>
    </row>
    <row r="97" spans="1:20" x14ac:dyDescent="0.3">
      <c r="A97" s="12" t="str">
        <f t="shared" si="11"/>
        <v>ORD096</v>
      </c>
      <c r="B97" s="1" t="s">
        <v>15</v>
      </c>
      <c r="C97" s="4" t="str">
        <f>VLOOKUP(B97,SKUs!$A$2:$E$6,2,FALSE)</f>
        <v>Embroidered Kurta</v>
      </c>
      <c r="D97" s="1" t="s">
        <v>6</v>
      </c>
      <c r="E97" s="1" t="s">
        <v>37</v>
      </c>
      <c r="F97" s="1" t="s">
        <v>38</v>
      </c>
      <c r="G97" s="39">
        <f>VLOOKUP(Orders!B97,SKUs!$A$2:$D$6,3,FALSE)</f>
        <v>999</v>
      </c>
      <c r="H97" s="39">
        <f>VLOOKUP(B97,SKUs!$A$2:$D$6,4,FALSE)</f>
        <v>350</v>
      </c>
      <c r="I97" s="39">
        <f>VLOOKUP(B97,SKUs!$A$2:$E$6,5,FALSE)</f>
        <v>30</v>
      </c>
      <c r="J97" s="2">
        <f>VLOOKUP(D97,'Rates '!$A$2:$G$4,2,FALSE)</f>
        <v>0.22</v>
      </c>
      <c r="K97" s="3">
        <f>VLOOKUP(D97,'Rates '!$A$2:$G$4,3,FALSE)</f>
        <v>70</v>
      </c>
      <c r="L97" s="3">
        <f>VLOOKUP(D97,'Rates '!$A$2:$G$4,4,FALSE)</f>
        <v>70</v>
      </c>
      <c r="M97" s="3">
        <f>VLOOKUP(D97,'Rates '!$A$2:$G$4,5,FALSE)</f>
        <v>70</v>
      </c>
      <c r="N97" s="3">
        <f>VLOOKUP(D97,'Rates '!$A$2:$G$4,6,FALSE)</f>
        <v>35</v>
      </c>
      <c r="O97" s="45">
        <f>VLOOKUP(D97,'Rates '!$A$2:$G$4,7,FALSE)</f>
        <v>0.02</v>
      </c>
      <c r="P97" s="3">
        <f t="shared" si="6"/>
        <v>219.78</v>
      </c>
      <c r="Q97" s="3">
        <f t="shared" si="7"/>
        <v>52.160399999999996</v>
      </c>
      <c r="R97" s="3">
        <f t="shared" si="8"/>
        <v>54.980000000000004</v>
      </c>
      <c r="S97" s="3">
        <f t="shared" si="9"/>
        <v>0</v>
      </c>
      <c r="T97" s="20">
        <f t="shared" si="10"/>
        <v>152.07960000000003</v>
      </c>
    </row>
    <row r="98" spans="1:20" x14ac:dyDescent="0.3">
      <c r="A98" s="12" t="str">
        <f t="shared" si="11"/>
        <v>ORD097</v>
      </c>
      <c r="B98" s="1" t="s">
        <v>15</v>
      </c>
      <c r="C98" s="4" t="str">
        <f>VLOOKUP(B98,SKUs!$A$2:$E$6,2,FALSE)</f>
        <v>Embroidered Kurta</v>
      </c>
      <c r="D98" s="1" t="s">
        <v>8</v>
      </c>
      <c r="E98" s="1" t="s">
        <v>36</v>
      </c>
      <c r="F98" s="1" t="s">
        <v>38</v>
      </c>
      <c r="G98" s="39">
        <f>VLOOKUP(Orders!B98,SKUs!$A$2:$D$6,3,FALSE)</f>
        <v>999</v>
      </c>
      <c r="H98" s="39">
        <f>VLOOKUP(B98,SKUs!$A$2:$D$6,4,FALSE)</f>
        <v>350</v>
      </c>
      <c r="I98" s="39">
        <f>VLOOKUP(B98,SKUs!$A$2:$E$6,5,FALSE)</f>
        <v>30</v>
      </c>
      <c r="J98" s="2">
        <f>VLOOKUP(D98,'Rates '!$A$2:$G$4,2,FALSE)</f>
        <v>0.02</v>
      </c>
      <c r="K98" s="3">
        <f>VLOOKUP(D98,'Rates '!$A$2:$G$4,3,FALSE)</f>
        <v>0</v>
      </c>
      <c r="L98" s="3">
        <f>VLOOKUP(D98,'Rates '!$A$2:$G$4,4,FALSE)</f>
        <v>75</v>
      </c>
      <c r="M98" s="3">
        <f>VLOOKUP(D98,'Rates '!$A$2:$G$4,5,FALSE)</f>
        <v>75</v>
      </c>
      <c r="N98" s="3">
        <f>VLOOKUP(D98,'Rates '!$A$2:$G$4,6,FALSE)</f>
        <v>0</v>
      </c>
      <c r="O98" s="45">
        <f>VLOOKUP(D98,'Rates '!$A$2:$G$4,7,FALSE)</f>
        <v>0</v>
      </c>
      <c r="P98" s="3">
        <f t="shared" si="6"/>
        <v>19.98</v>
      </c>
      <c r="Q98" s="3">
        <f t="shared" si="7"/>
        <v>3.5964</v>
      </c>
      <c r="R98" s="3">
        <f t="shared" si="8"/>
        <v>0</v>
      </c>
      <c r="S98" s="3">
        <f t="shared" si="9"/>
        <v>0</v>
      </c>
      <c r="T98" s="20">
        <f t="shared" si="10"/>
        <v>520.42359999999996</v>
      </c>
    </row>
    <row r="99" spans="1:20" x14ac:dyDescent="0.3">
      <c r="A99" s="12" t="str">
        <f t="shared" si="11"/>
        <v>ORD098</v>
      </c>
      <c r="B99" s="1" t="s">
        <v>17</v>
      </c>
      <c r="C99" s="4" t="str">
        <f>VLOOKUP(B99,SKUs!$A$2:$E$6,2,FALSE)</f>
        <v>Premium Silk Kurta</v>
      </c>
      <c r="D99" s="1" t="s">
        <v>8</v>
      </c>
      <c r="E99" s="1" t="s">
        <v>36</v>
      </c>
      <c r="F99" s="1" t="s">
        <v>39</v>
      </c>
      <c r="G99" s="39">
        <f>VLOOKUP(Orders!B99,SKUs!$A$2:$D$6,3,FALSE)</f>
        <v>1899</v>
      </c>
      <c r="H99" s="39">
        <f>VLOOKUP(B99,SKUs!$A$2:$D$6,4,FALSE)</f>
        <v>645</v>
      </c>
      <c r="I99" s="39">
        <f>VLOOKUP(B99,SKUs!$A$2:$E$6,5,FALSE)</f>
        <v>45</v>
      </c>
      <c r="J99" s="2">
        <f>VLOOKUP(D99,'Rates '!$A$2:$G$4,2,FALSE)</f>
        <v>0.02</v>
      </c>
      <c r="K99" s="3">
        <f>VLOOKUP(D99,'Rates '!$A$2:$G$4,3,FALSE)</f>
        <v>0</v>
      </c>
      <c r="L99" s="3">
        <f>VLOOKUP(D99,'Rates '!$A$2:$G$4,4,FALSE)</f>
        <v>75</v>
      </c>
      <c r="M99" s="3">
        <f>VLOOKUP(D99,'Rates '!$A$2:$G$4,5,FALSE)</f>
        <v>75</v>
      </c>
      <c r="N99" s="3">
        <f>VLOOKUP(D99,'Rates '!$A$2:$G$4,6,FALSE)</f>
        <v>0</v>
      </c>
      <c r="O99" s="45">
        <f>VLOOKUP(D99,'Rates '!$A$2:$G$4,7,FALSE)</f>
        <v>0</v>
      </c>
      <c r="P99" s="3">
        <f t="shared" si="6"/>
        <v>37.980000000000004</v>
      </c>
      <c r="Q99" s="3">
        <f t="shared" si="7"/>
        <v>6.8364000000000003</v>
      </c>
      <c r="R99" s="3">
        <f t="shared" si="8"/>
        <v>0</v>
      </c>
      <c r="S99" s="3">
        <f t="shared" si="9"/>
        <v>75</v>
      </c>
      <c r="T99" s="20">
        <f t="shared" si="10"/>
        <v>-195</v>
      </c>
    </row>
    <row r="100" spans="1:20" x14ac:dyDescent="0.3">
      <c r="A100" s="12" t="str">
        <f t="shared" si="11"/>
        <v>ORD099</v>
      </c>
      <c r="B100" s="1" t="s">
        <v>17</v>
      </c>
      <c r="C100" s="4" t="str">
        <f>VLOOKUP(B100,SKUs!$A$2:$E$6,2,FALSE)</f>
        <v>Premium Silk Kurta</v>
      </c>
      <c r="D100" s="1" t="s">
        <v>8</v>
      </c>
      <c r="E100" s="1" t="s">
        <v>36</v>
      </c>
      <c r="F100" s="1" t="s">
        <v>38</v>
      </c>
      <c r="G100" s="39">
        <f>VLOOKUP(Orders!B100,SKUs!$A$2:$D$6,3,FALSE)</f>
        <v>1899</v>
      </c>
      <c r="H100" s="39">
        <f>VLOOKUP(B100,SKUs!$A$2:$D$6,4,FALSE)</f>
        <v>645</v>
      </c>
      <c r="I100" s="39">
        <f>VLOOKUP(B100,SKUs!$A$2:$E$6,5,FALSE)</f>
        <v>45</v>
      </c>
      <c r="J100" s="2">
        <f>VLOOKUP(D100,'Rates '!$A$2:$G$4,2,FALSE)</f>
        <v>0.02</v>
      </c>
      <c r="K100" s="3">
        <f>VLOOKUP(D100,'Rates '!$A$2:$G$4,3,FALSE)</f>
        <v>0</v>
      </c>
      <c r="L100" s="3">
        <f>VLOOKUP(D100,'Rates '!$A$2:$G$4,4,FALSE)</f>
        <v>75</v>
      </c>
      <c r="M100" s="3">
        <f>VLOOKUP(D100,'Rates '!$A$2:$G$4,5,FALSE)</f>
        <v>75</v>
      </c>
      <c r="N100" s="3">
        <f>VLOOKUP(D100,'Rates '!$A$2:$G$4,6,FALSE)</f>
        <v>0</v>
      </c>
      <c r="O100" s="45">
        <f>VLOOKUP(D100,'Rates '!$A$2:$G$4,7,FALSE)</f>
        <v>0</v>
      </c>
      <c r="P100" s="3">
        <f t="shared" si="6"/>
        <v>37.980000000000004</v>
      </c>
      <c r="Q100" s="3">
        <f t="shared" si="7"/>
        <v>6.8364000000000003</v>
      </c>
      <c r="R100" s="3">
        <f t="shared" si="8"/>
        <v>0</v>
      </c>
      <c r="S100" s="3">
        <f t="shared" si="9"/>
        <v>0</v>
      </c>
      <c r="T100" s="20">
        <f t="shared" si="10"/>
        <v>1089.1836000000001</v>
      </c>
    </row>
    <row r="101" spans="1:20" ht="15" thickBot="1" x14ac:dyDescent="0.35">
      <c r="A101" s="14" t="str">
        <f t="shared" si="11"/>
        <v>ORD100</v>
      </c>
      <c r="B101" s="18" t="s">
        <v>16</v>
      </c>
      <c r="C101" s="18" t="str">
        <f>VLOOKUP(B101,SKUs!$A$2:$E$6,2,FALSE)</f>
        <v>Designer Kurta</v>
      </c>
      <c r="D101" s="18" t="s">
        <v>8</v>
      </c>
      <c r="E101" s="18" t="s">
        <v>36</v>
      </c>
      <c r="F101" s="18" t="s">
        <v>39</v>
      </c>
      <c r="G101" s="40">
        <f>VLOOKUP(Orders!B101,SKUs!$A$2:$D$6,3,FALSE)</f>
        <v>1299</v>
      </c>
      <c r="H101" s="40">
        <f>VLOOKUP(B101,SKUs!$A$2:$D$6,4,FALSE)</f>
        <v>455</v>
      </c>
      <c r="I101" s="40">
        <f>VLOOKUP(B101,SKUs!$A$2:$E$6,5,FALSE)</f>
        <v>40</v>
      </c>
      <c r="J101" s="15">
        <f>VLOOKUP(D101,'Rates '!$A$2:$G$4,2,FALSE)</f>
        <v>0.02</v>
      </c>
      <c r="K101" s="16">
        <f>VLOOKUP(D101,'Rates '!$A$2:$G$4,3,FALSE)</f>
        <v>0</v>
      </c>
      <c r="L101" s="16">
        <f>VLOOKUP(D101,'Rates '!$A$2:$G$4,4,FALSE)</f>
        <v>75</v>
      </c>
      <c r="M101" s="16">
        <f>VLOOKUP(D101,'Rates '!$A$2:$G$4,5,FALSE)</f>
        <v>75</v>
      </c>
      <c r="N101" s="16">
        <f>VLOOKUP(D101,'Rates '!$A$2:$G$4,6,FALSE)</f>
        <v>0</v>
      </c>
      <c r="O101" s="46">
        <f>VLOOKUP(D101,'Rates '!$A$2:$G$4,7,FALSE)</f>
        <v>0</v>
      </c>
      <c r="P101" s="16">
        <f t="shared" si="6"/>
        <v>25.98</v>
      </c>
      <c r="Q101" s="16">
        <f t="shared" si="7"/>
        <v>4.6764000000000001</v>
      </c>
      <c r="R101" s="16">
        <f t="shared" si="8"/>
        <v>0</v>
      </c>
      <c r="S101" s="16">
        <f t="shared" si="9"/>
        <v>75</v>
      </c>
      <c r="T101" s="21">
        <f t="shared" si="10"/>
        <v>-190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5668A-EC6C-4239-8864-BE5B7496F2F3}">
  <dimension ref="A1:J63"/>
  <sheetViews>
    <sheetView workbookViewId="0">
      <selection activeCell="B18" sqref="B18"/>
    </sheetView>
  </sheetViews>
  <sheetFormatPr defaultRowHeight="14.4" x14ac:dyDescent="0.3"/>
  <cols>
    <col min="1" max="1" width="16.33203125" bestFit="1" customWidth="1"/>
    <col min="2" max="2" width="15.5546875" bestFit="1" customWidth="1"/>
    <col min="3" max="3" width="8.77734375" bestFit="1" customWidth="1"/>
    <col min="4" max="4" width="10.77734375" bestFit="1" customWidth="1"/>
    <col min="5" max="5" width="20.77734375" bestFit="1" customWidth="1"/>
    <col min="6" max="6" width="13.21875" bestFit="1" customWidth="1"/>
  </cols>
  <sheetData>
    <row r="1" spans="1:3" x14ac:dyDescent="0.3">
      <c r="A1" s="107" t="s">
        <v>48</v>
      </c>
      <c r="B1" s="107"/>
      <c r="C1" s="36"/>
    </row>
    <row r="2" spans="1:3" x14ac:dyDescent="0.3">
      <c r="A2" s="23" t="s">
        <v>42</v>
      </c>
      <c r="B2" t="s">
        <v>44</v>
      </c>
    </row>
    <row r="3" spans="1:3" x14ac:dyDescent="0.3">
      <c r="A3" s="24" t="s">
        <v>18</v>
      </c>
      <c r="B3" s="48">
        <v>373.15039999999976</v>
      </c>
    </row>
    <row r="4" spans="1:3" x14ac:dyDescent="0.3">
      <c r="A4" s="24" t="s">
        <v>19</v>
      </c>
      <c r="B4" s="48">
        <v>715.19159999999999</v>
      </c>
    </row>
    <row r="5" spans="1:3" x14ac:dyDescent="0.3">
      <c r="A5" s="24" t="s">
        <v>20</v>
      </c>
      <c r="B5" s="48">
        <v>4987.1088000000009</v>
      </c>
    </row>
    <row r="6" spans="1:3" x14ac:dyDescent="0.3">
      <c r="A6" s="24" t="s">
        <v>21</v>
      </c>
      <c r="B6" s="48">
        <v>5545.2431999999999</v>
      </c>
    </row>
    <row r="7" spans="1:3" x14ac:dyDescent="0.3">
      <c r="A7" s="24" t="s">
        <v>72</v>
      </c>
      <c r="B7" s="48">
        <v>10200.926000000003</v>
      </c>
    </row>
    <row r="8" spans="1:3" x14ac:dyDescent="0.3">
      <c r="A8" s="24" t="s">
        <v>43</v>
      </c>
      <c r="B8" s="25">
        <v>21821.620000000003</v>
      </c>
    </row>
    <row r="13" spans="1:3" x14ac:dyDescent="0.3">
      <c r="A13" s="107" t="s">
        <v>49</v>
      </c>
      <c r="B13" s="107"/>
      <c r="C13" s="107"/>
    </row>
    <row r="14" spans="1:3" x14ac:dyDescent="0.3">
      <c r="A14" s="23" t="s">
        <v>42</v>
      </c>
      <c r="B14" t="s">
        <v>46</v>
      </c>
    </row>
    <row r="15" spans="1:3" x14ac:dyDescent="0.3">
      <c r="A15" s="24" t="s">
        <v>7</v>
      </c>
      <c r="B15" s="48">
        <v>242.49666666666664</v>
      </c>
    </row>
    <row r="16" spans="1:3" x14ac:dyDescent="0.3">
      <c r="A16" s="24" t="s">
        <v>6</v>
      </c>
      <c r="B16" s="48">
        <v>78.729112499999999</v>
      </c>
    </row>
    <row r="17" spans="1:4" x14ac:dyDescent="0.3">
      <c r="A17" s="24" t="s">
        <v>8</v>
      </c>
      <c r="B17" s="48">
        <v>330.38776250000006</v>
      </c>
    </row>
    <row r="18" spans="1:4" x14ac:dyDescent="0.3">
      <c r="A18" s="24" t="s">
        <v>43</v>
      </c>
      <c r="B18" s="25">
        <v>218.21619999999999</v>
      </c>
    </row>
    <row r="23" spans="1:4" x14ac:dyDescent="0.3">
      <c r="A23" s="107" t="s">
        <v>50</v>
      </c>
      <c r="B23" s="107"/>
      <c r="C23" s="107"/>
    </row>
    <row r="24" spans="1:4" x14ac:dyDescent="0.3">
      <c r="A24" s="23" t="s">
        <v>42</v>
      </c>
      <c r="B24" t="s">
        <v>44</v>
      </c>
      <c r="C24" t="s">
        <v>45</v>
      </c>
    </row>
    <row r="25" spans="1:4" x14ac:dyDescent="0.3">
      <c r="A25" s="24" t="s">
        <v>38</v>
      </c>
      <c r="B25" s="25">
        <v>28597.34</v>
      </c>
      <c r="C25">
        <v>65</v>
      </c>
    </row>
    <row r="26" spans="1:4" x14ac:dyDescent="0.3">
      <c r="A26" s="24" t="s">
        <v>39</v>
      </c>
      <c r="B26" s="25">
        <v>-6775.7199999999975</v>
      </c>
      <c r="C26">
        <v>35</v>
      </c>
    </row>
    <row r="27" spans="1:4" x14ac:dyDescent="0.3">
      <c r="A27" s="24" t="s">
        <v>43</v>
      </c>
      <c r="B27" s="25">
        <v>21821.620000000006</v>
      </c>
      <c r="C27">
        <v>100</v>
      </c>
    </row>
    <row r="32" spans="1:4" x14ac:dyDescent="0.3">
      <c r="A32" s="107" t="s">
        <v>51</v>
      </c>
      <c r="B32" s="107"/>
      <c r="C32" s="107"/>
      <c r="D32" s="107"/>
    </row>
    <row r="33" spans="1:10" x14ac:dyDescent="0.3">
      <c r="A33" s="23" t="s">
        <v>45</v>
      </c>
      <c r="B33" s="23" t="s">
        <v>47</v>
      </c>
    </row>
    <row r="34" spans="1:10" x14ac:dyDescent="0.3">
      <c r="A34" s="23" t="s">
        <v>42</v>
      </c>
      <c r="B34" t="s">
        <v>38</v>
      </c>
      <c r="C34" t="s">
        <v>39</v>
      </c>
      <c r="D34" t="s">
        <v>43</v>
      </c>
    </row>
    <row r="35" spans="1:10" x14ac:dyDescent="0.3">
      <c r="A35" s="24" t="s">
        <v>18</v>
      </c>
      <c r="B35">
        <v>9</v>
      </c>
      <c r="C35">
        <v>5</v>
      </c>
      <c r="D35">
        <v>14</v>
      </c>
    </row>
    <row r="36" spans="1:10" x14ac:dyDescent="0.3">
      <c r="A36" s="24" t="s">
        <v>21</v>
      </c>
      <c r="B36">
        <v>12</v>
      </c>
      <c r="C36">
        <v>3</v>
      </c>
      <c r="D36">
        <v>15</v>
      </c>
    </row>
    <row r="37" spans="1:10" x14ac:dyDescent="0.3">
      <c r="A37" s="24" t="s">
        <v>20</v>
      </c>
      <c r="B37">
        <v>18</v>
      </c>
      <c r="C37">
        <v>7</v>
      </c>
      <c r="D37">
        <v>25</v>
      </c>
    </row>
    <row r="38" spans="1:10" x14ac:dyDescent="0.3">
      <c r="A38" s="24" t="s">
        <v>19</v>
      </c>
      <c r="B38">
        <v>11</v>
      </c>
      <c r="C38">
        <v>9</v>
      </c>
      <c r="D38">
        <v>20</v>
      </c>
    </row>
    <row r="39" spans="1:10" x14ac:dyDescent="0.3">
      <c r="A39" s="24" t="s">
        <v>72</v>
      </c>
      <c r="B39">
        <v>15</v>
      </c>
      <c r="C39">
        <v>11</v>
      </c>
      <c r="D39">
        <v>26</v>
      </c>
    </row>
    <row r="40" spans="1:10" x14ac:dyDescent="0.3">
      <c r="A40" s="24" t="s">
        <v>43</v>
      </c>
      <c r="B40">
        <v>65</v>
      </c>
      <c r="C40">
        <v>35</v>
      </c>
      <c r="D40">
        <v>100</v>
      </c>
    </row>
    <row r="43" spans="1:10" ht="15" thickBot="1" x14ac:dyDescent="0.35">
      <c r="E43" s="106" t="s">
        <v>69</v>
      </c>
      <c r="F43" s="106"/>
    </row>
    <row r="44" spans="1:10" ht="15" thickBot="1" x14ac:dyDescent="0.35">
      <c r="E44" s="7" t="s">
        <v>56</v>
      </c>
      <c r="F44" s="9" t="s">
        <v>57</v>
      </c>
    </row>
    <row r="45" spans="1:10" x14ac:dyDescent="0.3">
      <c r="E45" s="10" t="s">
        <v>58</v>
      </c>
      <c r="F45" s="19">
        <f>AVERAGEIF(Orders!F:F, "Delivered", Orders!T:T)</f>
        <v>439.95907692307691</v>
      </c>
      <c r="H45" s="25"/>
    </row>
    <row r="46" spans="1:10" x14ac:dyDescent="0.3">
      <c r="E46" s="12" t="s">
        <v>59</v>
      </c>
      <c r="F46" s="20">
        <f>AVERAGEIF(Orders!F:F, "Returned", Orders!T:T)</f>
        <v>-193.59199999999993</v>
      </c>
      <c r="J46" s="25"/>
    </row>
    <row r="47" spans="1:10" x14ac:dyDescent="0.3">
      <c r="E47" s="12" t="s">
        <v>60</v>
      </c>
      <c r="F47" s="37">
        <v>100</v>
      </c>
    </row>
    <row r="48" spans="1:10" x14ac:dyDescent="0.3">
      <c r="E48" s="12" t="s">
        <v>61</v>
      </c>
      <c r="F48" s="37">
        <v>0.3</v>
      </c>
    </row>
    <row r="49" spans="5:6" ht="15" thickBot="1" x14ac:dyDescent="0.35">
      <c r="E49" s="14" t="s">
        <v>62</v>
      </c>
      <c r="F49" s="21">
        <f>(1-F48)*F47*F45+(F48*F47*F46)</f>
        <v>24989.375384615385</v>
      </c>
    </row>
    <row r="52" spans="5:6" ht="15" thickBot="1" x14ac:dyDescent="0.35">
      <c r="E52" s="51" t="s">
        <v>74</v>
      </c>
      <c r="F52" s="52" t="s">
        <v>35</v>
      </c>
    </row>
    <row r="53" spans="5:6" x14ac:dyDescent="0.3">
      <c r="E53" s="49" t="s">
        <v>38</v>
      </c>
      <c r="F53" s="50">
        <f>GETPIVOTDATA("Sum of CM2",$A$24,"Order Status","Delivered")</f>
        <v>28597.34</v>
      </c>
    </row>
    <row r="54" spans="5:6" x14ac:dyDescent="0.3">
      <c r="E54" s="53" t="s">
        <v>39</v>
      </c>
      <c r="F54" s="54">
        <f>GETPIVOTDATA("Sum of CM2",$A$24,"Order Status","Returned")</f>
        <v>-6775.7199999999975</v>
      </c>
    </row>
    <row r="56" spans="5:6" x14ac:dyDescent="0.3">
      <c r="E56" s="107" t="s">
        <v>51</v>
      </c>
      <c r="F56" s="107"/>
    </row>
    <row r="57" spans="5:6" ht="15" thickBot="1" x14ac:dyDescent="0.35">
      <c r="E57" s="59" t="s">
        <v>75</v>
      </c>
      <c r="F57" s="60" t="s">
        <v>76</v>
      </c>
    </row>
    <row r="58" spans="5:6" x14ac:dyDescent="0.3">
      <c r="E58" s="55" t="s">
        <v>18</v>
      </c>
      <c r="F58" s="57">
        <f>GETPIVOTDATA("Order ID",$A$33,"SKU Name","Basic Cotton Kurta","Order Status","Returned")/GETPIVOTDATA("Order ID",$A$33,"SKU Name","Basic Cotton Kurta")</f>
        <v>0.35714285714285715</v>
      </c>
    </row>
    <row r="59" spans="5:6" x14ac:dyDescent="0.3">
      <c r="E59" s="56" t="s">
        <v>19</v>
      </c>
      <c r="F59" s="58">
        <f>GETPIVOTDATA("Order ID",$A$33,"SKU Name","Printed Kurta","Order Status","Returned")/GETPIVOTDATA("Order ID",$A$33,"SKU Name","Printed Kurta")</f>
        <v>0.45</v>
      </c>
    </row>
    <row r="60" spans="5:6" x14ac:dyDescent="0.3">
      <c r="E60" s="56" t="s">
        <v>20</v>
      </c>
      <c r="F60" s="58">
        <f>GETPIVOTDATA("Order ID",$A$33,"SKU Name","Embroidered Kurta","Order Status","Returned")/GETPIVOTDATA("Order ID",$A$33,"SKU Name","Embroidered Kurta")</f>
        <v>0.28000000000000003</v>
      </c>
    </row>
    <row r="61" spans="5:6" x14ac:dyDescent="0.3">
      <c r="E61" s="56" t="s">
        <v>21</v>
      </c>
      <c r="F61" s="58">
        <f>GETPIVOTDATA("Order ID",$A$33,"SKU Name","Designer Kurta","Order Status","Returned")/GETPIVOTDATA("Order ID",$A$33,"SKU Name","Designer Kurta")</f>
        <v>0.2</v>
      </c>
    </row>
    <row r="62" spans="5:6" x14ac:dyDescent="0.3">
      <c r="E62" s="61" t="s">
        <v>72</v>
      </c>
      <c r="F62" s="62">
        <f>GETPIVOTDATA("Order ID",$A$33,"SKU Name","Premium Silk Kurta","Order Status","Returned")/GETPIVOTDATA("Order ID",$A$33,"SKU Name","Premium Silk Kurta")</f>
        <v>0.42307692307692307</v>
      </c>
    </row>
    <row r="63" spans="5:6" x14ac:dyDescent="0.3">
      <c r="F63" s="47"/>
    </row>
  </sheetData>
  <scenarios current="0" sqref="F49">
    <scenario name="Base Case (30% Returns)" locked="1" count="1" user="Shubham sarkar" comment="Created by Shubham sarkar on 8/12/2026">
      <inputCells r="F48" val="0.3"/>
    </scenario>
    <scenario name="Optimistic (20% Returns)" locked="1" count="1" user="Shubham sarkar" comment="Created by Shubham sarkar on 8/12/2026">
      <inputCells r="F48" val="0.2"/>
    </scenario>
    <scenario name="Pessimistic (40% Returns)" locked="1" count="1" user="Shubham sarkar" comment="Created by Shubham sarkar on 8/12/2026">
      <inputCells r="F48" val="0.4"/>
    </scenario>
    <scenario name="Best Case (10%)" locked="1" count="1" user="Shubham sarkar" comment="Created by Shubham sarkar on 8/12/2026">
      <inputCells r="F48" val="0.1"/>
    </scenario>
  </scenarios>
  <mergeCells count="6">
    <mergeCell ref="A1:B1"/>
    <mergeCell ref="E43:F43"/>
    <mergeCell ref="E56:F56"/>
    <mergeCell ref="A13:C13"/>
    <mergeCell ref="A23:C23"/>
    <mergeCell ref="A32:D32"/>
  </mergeCells>
  <pageMargins left="0.7" right="0.7" top="0.75" bottom="0.75" header="0.3" footer="0.3"/>
  <pageSetup orientation="portrait" r:id="rId5"/>
  <tableParts count="2">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4BCBE-8B5B-469F-9A81-8D1989F62CD8}">
  <sheetPr>
    <outlinePr summaryBelow="0"/>
  </sheetPr>
  <dimension ref="B1:H7"/>
  <sheetViews>
    <sheetView showGridLines="0" workbookViewId="0"/>
  </sheetViews>
  <sheetFormatPr defaultRowHeight="14.4" outlineLevelRow="1" outlineLevelCol="1" x14ac:dyDescent="0.3"/>
  <cols>
    <col min="3" max="3" width="5.88671875" bestFit="1" customWidth="1"/>
    <col min="4" max="8" width="21.109375" customWidth="1" outlineLevel="1"/>
  </cols>
  <sheetData>
    <row r="1" spans="2:8" ht="15" thickBot="1" x14ac:dyDescent="0.35"/>
    <row r="2" spans="2:8" ht="15.6" x14ac:dyDescent="0.3">
      <c r="B2" s="28" t="s">
        <v>69</v>
      </c>
      <c r="C2" s="28"/>
      <c r="D2" s="33"/>
      <c r="E2" s="33"/>
      <c r="F2" s="33"/>
      <c r="G2" s="33"/>
      <c r="H2" s="33"/>
    </row>
    <row r="3" spans="2:8" ht="15.6" x14ac:dyDescent="0.3">
      <c r="B3" s="27"/>
      <c r="C3" s="27"/>
      <c r="D3" s="34" t="s">
        <v>73</v>
      </c>
      <c r="E3" s="34" t="s">
        <v>65</v>
      </c>
      <c r="F3" s="34" t="s">
        <v>66</v>
      </c>
      <c r="G3" s="34" t="s">
        <v>67</v>
      </c>
      <c r="H3" s="34" t="s">
        <v>68</v>
      </c>
    </row>
    <row r="4" spans="2:8" x14ac:dyDescent="0.3">
      <c r="B4" s="31" t="s">
        <v>70</v>
      </c>
      <c r="C4" s="31"/>
      <c r="D4" s="29"/>
      <c r="E4" s="29"/>
      <c r="F4" s="29"/>
      <c r="G4" s="29"/>
      <c r="H4" s="29"/>
    </row>
    <row r="5" spans="2:8" outlineLevel="1" x14ac:dyDescent="0.3">
      <c r="B5" s="30"/>
      <c r="C5" s="30" t="s">
        <v>63</v>
      </c>
      <c r="D5">
        <v>0.35</v>
      </c>
      <c r="E5" s="35">
        <v>0.3</v>
      </c>
      <c r="F5" s="35">
        <v>0.2</v>
      </c>
      <c r="G5" s="35">
        <v>0.4</v>
      </c>
      <c r="H5" s="35">
        <v>0.1</v>
      </c>
    </row>
    <row r="6" spans="2:8" x14ac:dyDescent="0.3">
      <c r="B6" s="31" t="s">
        <v>71</v>
      </c>
      <c r="C6" s="31"/>
      <c r="D6" s="29"/>
      <c r="E6" s="29"/>
      <c r="F6" s="29"/>
      <c r="G6" s="29"/>
      <c r="H6" s="29"/>
    </row>
    <row r="7" spans="2:8" ht="15" outlineLevel="1" thickBot="1" x14ac:dyDescent="0.35">
      <c r="B7" s="32"/>
      <c r="C7" s="32" t="s">
        <v>64</v>
      </c>
      <c r="D7" s="26">
        <v>24989.3753846154</v>
      </c>
      <c r="E7" s="26">
        <v>24989.3753846154</v>
      </c>
      <c r="F7" s="26">
        <v>31324.886153846201</v>
      </c>
      <c r="G7" s="26">
        <v>18653.864615384598</v>
      </c>
      <c r="H7" s="26">
        <v>37660.3969230769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ED530-3883-4843-8AF3-7AE8F38C444A}">
  <dimension ref="A1:AN10"/>
  <sheetViews>
    <sheetView showGridLines="0" tabSelected="1" topLeftCell="A16" workbookViewId="0">
      <selection activeCell="X41" sqref="X41"/>
    </sheetView>
  </sheetViews>
  <sheetFormatPr defaultColWidth="2.77734375" defaultRowHeight="14.4" x14ac:dyDescent="0.3"/>
  <sheetData>
    <row r="1" spans="1:40" ht="14.4" customHeight="1" x14ac:dyDescent="0.3">
      <c r="A1" s="63" t="s">
        <v>78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row>
    <row r="2" spans="1:40" ht="14.4" customHeight="1" x14ac:dyDescent="0.3">
      <c r="A2" s="63"/>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row>
    <row r="3" spans="1:40" ht="14.4" customHeight="1" x14ac:dyDescent="0.3">
      <c r="A3" s="63"/>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row>
    <row r="5" spans="1:40" ht="14.4" customHeight="1" x14ac:dyDescent="0.3">
      <c r="B5" s="76" t="s">
        <v>52</v>
      </c>
      <c r="C5" s="77"/>
      <c r="D5" s="77"/>
      <c r="E5" s="77"/>
      <c r="F5" s="77"/>
      <c r="G5" s="77"/>
      <c r="H5" s="78"/>
      <c r="J5" s="64" t="s">
        <v>53</v>
      </c>
      <c r="K5" s="65"/>
      <c r="L5" s="65"/>
      <c r="M5" s="65"/>
      <c r="N5" s="65"/>
      <c r="O5" s="65"/>
      <c r="P5" s="66"/>
      <c r="R5" s="88" t="s">
        <v>77</v>
      </c>
      <c r="S5" s="89"/>
      <c r="T5" s="89"/>
      <c r="U5" s="89"/>
      <c r="V5" s="89"/>
      <c r="W5" s="89"/>
      <c r="X5" s="90"/>
      <c r="Z5" s="64" t="s">
        <v>54</v>
      </c>
      <c r="AA5" s="65"/>
      <c r="AB5" s="65"/>
      <c r="AC5" s="65"/>
      <c r="AD5" s="65"/>
      <c r="AE5" s="65"/>
      <c r="AF5" s="66"/>
      <c r="AH5" s="64" t="s">
        <v>55</v>
      </c>
      <c r="AI5" s="65"/>
      <c r="AJ5" s="65"/>
      <c r="AK5" s="65"/>
      <c r="AL5" s="65"/>
      <c r="AM5" s="65"/>
      <c r="AN5" s="66"/>
    </row>
    <row r="6" spans="1:40" x14ac:dyDescent="0.3">
      <c r="B6" s="79"/>
      <c r="C6" s="80"/>
      <c r="D6" s="80"/>
      <c r="E6" s="80"/>
      <c r="F6" s="80"/>
      <c r="G6" s="80"/>
      <c r="H6" s="81"/>
      <c r="J6" s="67"/>
      <c r="K6" s="68"/>
      <c r="L6" s="68"/>
      <c r="M6" s="68"/>
      <c r="N6" s="68"/>
      <c r="O6" s="68"/>
      <c r="P6" s="69"/>
      <c r="R6" s="91"/>
      <c r="S6" s="92"/>
      <c r="T6" s="92"/>
      <c r="U6" s="92"/>
      <c r="V6" s="92"/>
      <c r="W6" s="92"/>
      <c r="X6" s="93"/>
      <c r="Z6" s="67"/>
      <c r="AA6" s="68"/>
      <c r="AB6" s="68"/>
      <c r="AC6" s="68"/>
      <c r="AD6" s="68"/>
      <c r="AE6" s="68"/>
      <c r="AF6" s="69"/>
      <c r="AH6" s="67"/>
      <c r="AI6" s="68"/>
      <c r="AJ6" s="68"/>
      <c r="AK6" s="68"/>
      <c r="AL6" s="68"/>
      <c r="AM6" s="68"/>
      <c r="AN6" s="69"/>
    </row>
    <row r="7" spans="1:40" x14ac:dyDescent="0.3">
      <c r="B7" s="79"/>
      <c r="C7" s="80"/>
      <c r="D7" s="80"/>
      <c r="E7" s="80"/>
      <c r="F7" s="80"/>
      <c r="G7" s="80"/>
      <c r="H7" s="81"/>
      <c r="J7" s="67"/>
      <c r="K7" s="68"/>
      <c r="L7" s="68"/>
      <c r="M7" s="68"/>
      <c r="N7" s="68"/>
      <c r="O7" s="68"/>
      <c r="P7" s="69"/>
      <c r="R7" s="91"/>
      <c r="S7" s="92"/>
      <c r="T7" s="92"/>
      <c r="U7" s="92"/>
      <c r="V7" s="92"/>
      <c r="W7" s="92"/>
      <c r="X7" s="93"/>
      <c r="Z7" s="67"/>
      <c r="AA7" s="68"/>
      <c r="AB7" s="68"/>
      <c r="AC7" s="68"/>
      <c r="AD7" s="68"/>
      <c r="AE7" s="68"/>
      <c r="AF7" s="69"/>
      <c r="AH7" s="67"/>
      <c r="AI7" s="68"/>
      <c r="AJ7" s="68"/>
      <c r="AK7" s="68"/>
      <c r="AL7" s="68"/>
      <c r="AM7" s="68"/>
      <c r="AN7" s="69"/>
    </row>
    <row r="8" spans="1:40" ht="14.4" customHeight="1" x14ac:dyDescent="0.3">
      <c r="B8" s="82">
        <f>Summary!C8</f>
        <v>0</v>
      </c>
      <c r="C8" s="83"/>
      <c r="D8" s="83"/>
      <c r="E8" s="83"/>
      <c r="F8" s="83"/>
      <c r="G8" s="83"/>
      <c r="H8" s="84"/>
      <c r="J8" s="82">
        <f>Summary!B8</f>
        <v>21821.620000000003</v>
      </c>
      <c r="K8" s="83"/>
      <c r="L8" s="83"/>
      <c r="M8" s="83"/>
      <c r="N8" s="83"/>
      <c r="O8" s="83"/>
      <c r="P8" s="84"/>
      <c r="R8" s="94">
        <f>Summary!B26</f>
        <v>-6775.7199999999975</v>
      </c>
      <c r="S8" s="95"/>
      <c r="T8" s="95"/>
      <c r="U8" s="95"/>
      <c r="V8" s="95"/>
      <c r="W8" s="95"/>
      <c r="X8" s="96"/>
      <c r="Z8" s="100">
        <f>Summary!B15</f>
        <v>242.49666666666664</v>
      </c>
      <c r="AA8" s="101"/>
      <c r="AB8" s="101"/>
      <c r="AC8" s="101"/>
      <c r="AD8" s="101"/>
      <c r="AE8" s="101"/>
      <c r="AF8" s="102"/>
      <c r="AH8" s="70">
        <f>Summary!C40/100</f>
        <v>0.35</v>
      </c>
      <c r="AI8" s="71"/>
      <c r="AJ8" s="71"/>
      <c r="AK8" s="71"/>
      <c r="AL8" s="71"/>
      <c r="AM8" s="71"/>
      <c r="AN8" s="72"/>
    </row>
    <row r="9" spans="1:40" ht="14.4" customHeight="1" x14ac:dyDescent="0.3">
      <c r="B9" s="82"/>
      <c r="C9" s="83"/>
      <c r="D9" s="83"/>
      <c r="E9" s="83"/>
      <c r="F9" s="83"/>
      <c r="G9" s="83"/>
      <c r="H9" s="84"/>
      <c r="J9" s="82"/>
      <c r="K9" s="83"/>
      <c r="L9" s="83"/>
      <c r="M9" s="83"/>
      <c r="N9" s="83"/>
      <c r="O9" s="83"/>
      <c r="P9" s="84"/>
      <c r="R9" s="94"/>
      <c r="S9" s="95"/>
      <c r="T9" s="95"/>
      <c r="U9" s="95"/>
      <c r="V9" s="95"/>
      <c r="W9" s="95"/>
      <c r="X9" s="96"/>
      <c r="Z9" s="100"/>
      <c r="AA9" s="101"/>
      <c r="AB9" s="101"/>
      <c r="AC9" s="101"/>
      <c r="AD9" s="101"/>
      <c r="AE9" s="101"/>
      <c r="AF9" s="102"/>
      <c r="AH9" s="70"/>
      <c r="AI9" s="71"/>
      <c r="AJ9" s="71"/>
      <c r="AK9" s="71"/>
      <c r="AL9" s="71"/>
      <c r="AM9" s="71"/>
      <c r="AN9" s="72"/>
    </row>
    <row r="10" spans="1:40" ht="14.4" customHeight="1" x14ac:dyDescent="0.3">
      <c r="B10" s="85"/>
      <c r="C10" s="86"/>
      <c r="D10" s="86"/>
      <c r="E10" s="86"/>
      <c r="F10" s="86"/>
      <c r="G10" s="86"/>
      <c r="H10" s="87"/>
      <c r="J10" s="85"/>
      <c r="K10" s="86"/>
      <c r="L10" s="86"/>
      <c r="M10" s="86"/>
      <c r="N10" s="86"/>
      <c r="O10" s="86"/>
      <c r="P10" s="87"/>
      <c r="R10" s="97"/>
      <c r="S10" s="98"/>
      <c r="T10" s="98"/>
      <c r="U10" s="98"/>
      <c r="V10" s="98"/>
      <c r="W10" s="98"/>
      <c r="X10" s="99"/>
      <c r="Z10" s="103"/>
      <c r="AA10" s="104"/>
      <c r="AB10" s="104"/>
      <c r="AC10" s="104"/>
      <c r="AD10" s="104"/>
      <c r="AE10" s="104"/>
      <c r="AF10" s="105"/>
      <c r="AH10" s="73"/>
      <c r="AI10" s="74"/>
      <c r="AJ10" s="74"/>
      <c r="AK10" s="74"/>
      <c r="AL10" s="74"/>
      <c r="AM10" s="74"/>
      <c r="AN10" s="75"/>
    </row>
  </sheetData>
  <mergeCells count="11">
    <mergeCell ref="A1:AN3"/>
    <mergeCell ref="AH5:AN7"/>
    <mergeCell ref="AH8:AN10"/>
    <mergeCell ref="B5:H7"/>
    <mergeCell ref="B8:H10"/>
    <mergeCell ref="J5:P7"/>
    <mergeCell ref="J8:P10"/>
    <mergeCell ref="R5:X7"/>
    <mergeCell ref="R8:X10"/>
    <mergeCell ref="Z5:AF7"/>
    <mergeCell ref="Z8:AF10"/>
  </mergeCells>
  <phoneticPr fontId="3" type="noConversion"/>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Rates </vt:lpstr>
      <vt:lpstr>SKUs</vt:lpstr>
      <vt:lpstr>Orders</vt:lpstr>
      <vt:lpstr>Summary</vt:lpstr>
      <vt:lpstr>Scenario 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sarkar</dc:creator>
  <cp:lastModifiedBy>Shubham sarkar</cp:lastModifiedBy>
  <dcterms:created xsi:type="dcterms:W3CDTF">2015-06-05T18:17:20Z</dcterms:created>
  <dcterms:modified xsi:type="dcterms:W3CDTF">2026-09-07T11:37:36Z</dcterms:modified>
</cp:coreProperties>
</file>